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antonio.ferreira\Desktop\"/>
    </mc:Choice>
  </mc:AlternateContent>
  <xr:revisionPtr revIDLastSave="0" documentId="8_{8833A2E9-76CF-49E1-8B8D-403CC36C941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ettings" sheetId="1" r:id="rId1"/>
    <sheet name="Constants" sheetId="2" r:id="rId2"/>
    <sheet name="Assets" sheetId="3" r:id="rId3"/>
    <sheet name="QueueItems" sheetId="5" r:id="rId4"/>
  </sheets>
  <definedNames>
    <definedName name="_xlnm._FilterDatabase" localSheetId="0" hidden="1">Settings!$A$1:$C$7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0" i="5" l="1"/>
  <c r="J60" i="5"/>
  <c r="J61" i="5"/>
  <c r="A61" i="5"/>
  <c r="J59" i="5"/>
  <c r="A59" i="5"/>
  <c r="J63" i="5"/>
  <c r="A63" i="5"/>
  <c r="J64" i="5"/>
  <c r="A64" i="5"/>
  <c r="J62" i="5"/>
  <c r="A62" i="5"/>
  <c r="J65" i="5"/>
  <c r="A65" i="5"/>
  <c r="J72" i="5"/>
  <c r="A72" i="5"/>
  <c r="A69" i="5"/>
  <c r="J69" i="5"/>
  <c r="J57" i="5"/>
  <c r="A57" i="5"/>
  <c r="A66" i="5"/>
  <c r="J66" i="5"/>
  <c r="A67" i="5"/>
  <c r="J67" i="5"/>
  <c r="A68" i="5"/>
  <c r="J68" i="5"/>
  <c r="A70" i="5"/>
  <c r="J70" i="5"/>
  <c r="A71" i="5"/>
  <c r="J71" i="5"/>
  <c r="A27" i="5"/>
  <c r="J27" i="5"/>
  <c r="A30" i="5"/>
  <c r="J30" i="5"/>
  <c r="A28" i="5"/>
  <c r="J28" i="5"/>
  <c r="A29" i="5"/>
  <c r="J29" i="5"/>
  <c r="A26" i="5"/>
  <c r="J26" i="5"/>
  <c r="A31" i="5"/>
  <c r="J31" i="5"/>
  <c r="A32" i="5"/>
  <c r="J32" i="5"/>
  <c r="J25" i="5"/>
  <c r="A25" i="5"/>
  <c r="J58" i="5"/>
  <c r="A58" i="5"/>
  <c r="J56" i="5"/>
  <c r="A56" i="5"/>
  <c r="J55" i="5"/>
  <c r="A55" i="5"/>
  <c r="J54" i="5"/>
  <c r="A54" i="5"/>
  <c r="J53" i="5"/>
  <c r="A53" i="5"/>
  <c r="J52" i="5"/>
  <c r="A52" i="5"/>
  <c r="J51" i="5"/>
  <c r="A51" i="5"/>
  <c r="J50" i="5"/>
  <c r="A50" i="5"/>
  <c r="J49" i="5"/>
  <c r="A49" i="5"/>
  <c r="J48" i="5"/>
  <c r="A48" i="5"/>
  <c r="J47" i="5"/>
  <c r="A47" i="5"/>
  <c r="J46" i="5"/>
  <c r="A46" i="5"/>
  <c r="J45" i="5"/>
  <c r="A45" i="5"/>
  <c r="J44" i="5"/>
  <c r="A44" i="5"/>
  <c r="J43" i="5"/>
  <c r="A43" i="5"/>
  <c r="J42" i="5"/>
  <c r="A42" i="5"/>
  <c r="J41" i="5"/>
  <c r="A41" i="5"/>
  <c r="J40" i="5"/>
  <c r="A40" i="5"/>
  <c r="J39" i="5"/>
  <c r="A39" i="5"/>
  <c r="J38" i="5"/>
  <c r="A38" i="5"/>
  <c r="J37" i="5"/>
  <c r="A37" i="5"/>
  <c r="J36" i="5"/>
  <c r="A36" i="5"/>
  <c r="J35" i="5"/>
  <c r="A35" i="5"/>
  <c r="J34" i="5"/>
  <c r="A34" i="5"/>
  <c r="J33" i="5"/>
  <c r="A33" i="5"/>
  <c r="J24" i="5"/>
  <c r="A24" i="5"/>
  <c r="J23" i="5"/>
  <c r="A23" i="5"/>
  <c r="J22" i="5"/>
  <c r="A22" i="5"/>
  <c r="J21" i="5"/>
  <c r="A21" i="5"/>
  <c r="J20" i="5"/>
  <c r="A20" i="5"/>
  <c r="J19" i="5"/>
  <c r="A19" i="5"/>
  <c r="J18" i="5"/>
  <c r="A18" i="5"/>
  <c r="J17" i="5"/>
  <c r="A17" i="5"/>
  <c r="J16" i="5"/>
  <c r="A16" i="5"/>
  <c r="J15" i="5"/>
  <c r="A15" i="5"/>
  <c r="J14" i="5"/>
  <c r="A14" i="5"/>
  <c r="J13" i="5"/>
  <c r="A13" i="5"/>
  <c r="J12" i="5"/>
  <c r="A12" i="5"/>
  <c r="J11" i="5"/>
  <c r="A11" i="5"/>
  <c r="J10" i="5"/>
  <c r="A10" i="5"/>
  <c r="J9" i="5"/>
  <c r="A9" i="5"/>
  <c r="J8" i="5"/>
  <c r="A8" i="5"/>
  <c r="J7" i="5"/>
  <c r="A7" i="5"/>
  <c r="J6" i="5"/>
  <c r="A6" i="5"/>
  <c r="J5" i="5"/>
  <c r="A5" i="5"/>
  <c r="J4" i="5"/>
  <c r="A4" i="5"/>
  <c r="J3" i="5"/>
  <c r="A3" i="5"/>
  <c r="J2" i="5"/>
  <c r="A2" i="5"/>
</calcChain>
</file>

<file path=xl/sharedStrings.xml><?xml version="1.0" encoding="utf-8"?>
<sst xmlns="http://schemas.openxmlformats.org/spreadsheetml/2006/main" count="624" uniqueCount="197">
  <si>
    <t>Name</t>
  </si>
  <si>
    <t>Value</t>
  </si>
  <si>
    <t>Description</t>
  </si>
  <si>
    <t>Nome da fila no orquestrator.</t>
  </si>
  <si>
    <t>FileImportRejected</t>
  </si>
  <si>
    <t>ImportRejected.csv</t>
  </si>
  <si>
    <t>True</t>
  </si>
  <si>
    <t>AssetsFolder</t>
  </si>
  <si>
    <t>Projetos</t>
  </si>
  <si>
    <t>Pasta com Assets compartilhados na orquestradora</t>
  </si>
  <si>
    <t>Asset-Sisbr</t>
  </si>
  <si>
    <t>LoginSisbr</t>
  </si>
  <si>
    <t>Asset do Sisbr 2.0</t>
  </si>
  <si>
    <t>MaxRetryNumber</t>
  </si>
  <si>
    <t>Must be 0 if working with Orchestrator queues.</t>
  </si>
  <si>
    <t>MaxConsecutiveSystemExceptions</t>
  </si>
  <si>
    <t>MaxRetryScopeActivities</t>
  </si>
  <si>
    <t>LogMessage_GetTransactionData</t>
  </si>
  <si>
    <t xml:space="preserve">Processing Transaction: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</si>
  <si>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</si>
  <si>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</si>
  <si>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</si>
  <si>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</si>
  <si>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</si>
  <si>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</si>
  <si>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</si>
  <si>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</si>
  <si>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</si>
  <si>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</si>
  <si>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</si>
  <si>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</si>
  <si>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</si>
  <si>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ExScreenshotsName</t>
  </si>
  <si>
    <t>Prefixo na Screenshot das exeções.</t>
  </si>
  <si>
    <t>ExceptionMessage_ConsecutiveErrors</t>
  </si>
  <si>
    <t>Máximo de erros consecutivos atingido.</t>
  </si>
  <si>
    <t>ShouldMarkJobAsFaulted</t>
  </si>
  <si>
    <t>Must be TRUE or FALSE. If the value is TRUE and an error occurs in Initialization state or the MaxConsecutiveSystemExceptions is reached, the job is marked as Faulted.</t>
  </si>
  <si>
    <t>Error message in case MaxConsecutiveSystemExceptions number is reached.</t>
  </si>
  <si>
    <t>SistemasProcesso</t>
  </si>
  <si>
    <t>Asset</t>
  </si>
  <si>
    <t>OrchestratorAssetFolder</t>
  </si>
  <si>
    <t>Description (Assets will always overwrite other config)</t>
  </si>
  <si>
    <t>OrchestratorQueueName</t>
  </si>
  <si>
    <t>Processos para serem encerrados.</t>
  </si>
  <si>
    <t>Calendário</t>
  </si>
  <si>
    <t>Dias úteis</t>
  </si>
  <si>
    <t>Env - ProcessToKill</t>
  </si>
  <si>
    <t>projectName</t>
  </si>
  <si>
    <r>
      <t>Database entry -</t>
    </r>
    <r>
      <rPr>
        <b/>
        <sz val="11"/>
        <color rgb="FF000000"/>
        <rFont val="Calibri"/>
        <family val="2"/>
      </rPr>
      <t xml:space="preserve"> nome único</t>
    </r>
  </si>
  <si>
    <t>projectDescription</t>
  </si>
  <si>
    <t>projectStatus</t>
  </si>
  <si>
    <t>Database entry - {Ativo, Desenvolvimento, Inativo}</t>
  </si>
  <si>
    <t>projectOwner</t>
  </si>
  <si>
    <t>Database entry - área de origem e responsável pelo processo</t>
  </si>
  <si>
    <t>projectStartDate</t>
  </si>
  <si>
    <r>
      <t xml:space="preserve">Database entry - data que entrou em </t>
    </r>
    <r>
      <rPr>
        <b/>
        <sz val="11"/>
        <color rgb="FF000000"/>
        <rFont val="Calibri"/>
        <family val="2"/>
      </rPr>
      <t>produção</t>
    </r>
  </si>
  <si>
    <t>projectDev</t>
  </si>
  <si>
    <t>Calendário da orquestradora.</t>
  </si>
  <si>
    <t>Para rejeições ao importar itens à orquestradora.</t>
  </si>
  <si>
    <t>Sisbr2.0 - DefaultCoop</t>
  </si>
  <si>
    <t>Sisbr2.0 - DefaultNPAC</t>
  </si>
  <si>
    <t>Sisbr2.0 - DefaultPath</t>
  </si>
  <si>
    <t>SisbrPath</t>
  </si>
  <si>
    <t>SisbrPA</t>
  </si>
  <si>
    <t>SisbrCoop</t>
  </si>
  <si>
    <t>Valores padrão para o login Sisbr 2.0</t>
  </si>
  <si>
    <t>DefaultPDF</t>
  </si>
  <si>
    <t>Leitor padrão de PDF.</t>
  </si>
  <si>
    <t>Env - DefaultPDF</t>
  </si>
  <si>
    <t>Database entry - resumo conciso do projeto</t>
  </si>
  <si>
    <t>Database entry - desenvolvedor</t>
  </si>
  <si>
    <t>Fila de transações</t>
  </si>
  <si>
    <t>Guilherme Flexa</t>
  </si>
  <si>
    <t>Reference</t>
  </si>
  <si>
    <t>Destinatarios</t>
  </si>
  <si>
    <t>000</t>
  </si>
  <si>
    <t>Sharepoint</t>
  </si>
  <si>
    <t>Nome Arquivo</t>
  </si>
  <si>
    <t>Cooperativa</t>
  </si>
  <si>
    <t>PA</t>
  </si>
  <si>
    <t>TopMailResultado</t>
  </si>
  <si>
    <t>BottomMailResultado</t>
  </si>
  <si>
    <t>MailDestinatarioResultado</t>
  </si>
  <si>
    <t>MailDestinatarioCC</t>
  </si>
  <si>
    <t>MailSubject</t>
  </si>
  <si>
    <t>&lt;!DOCTYPE html&gt;
&lt;html lang="pt-br"&gt;
&lt;head&gt;
    &lt;meta charset="ISO-8859-1"&gt;
    &lt;meta name="viewport" content="width=device-width,initial-scale=1"&gt;
    &lt;style&gt;
        body {
            font-family: Arial, sans-serif;
            font-size: 10px;
        }
        h1 {
            font-family: Tahoma, sans-serif;
            color: #fff
        }
        table {
            border: 1px dashed;
            border-collapse: collapse;
            width: 50%;
            overflow: hidden;
	    border-spacing: 1px;
            padding: 4px
                    }
        td,
        th {
            border: 2px double black;
            padding: 2px;
            text-align: left;
            border-radius: 3px;
            word-break: break-word
        }
        th {
            background-color: #00AE9D;
            color: #fff
        }
        td {
            background-color: white;
            padding: 2px;
        }
    	tr {
	        padding: 2px
	    }
        tr:hover td {
            background-color: #f5f5f5
        }
    &lt;/style&gt;
&lt;/head&gt;
&lt;body&gt;
    &lt;p&gt;&lt;strong&gt;Prezados&lt;br&gt;Segue abaixo os erros identificados referente a etapa que insere itens para processamento:&lt;/strong&gt;&lt;br&gt;&lt;br&gt;&lt;strong&gt;Resultados:&lt;/strong&gt;&lt;br&gt;&amp;nbsp;&lt;/p&gt;</t>
  </si>
  <si>
    <t>rpa-dev@sicoobnovacentral.com.br</t>
  </si>
  <si>
    <t>sergio.oliveira@sicoobnovacentral.com.br;antonio.ferreira@sicoobnovacentral.com.br</t>
  </si>
  <si>
    <t>Tipo Relatorio</t>
  </si>
  <si>
    <t>Timeout</t>
  </si>
  <si>
    <t>Sicoob Nova Central</t>
  </si>
  <si>
    <t>Sicoob Executivo</t>
  </si>
  <si>
    <t>Sicoob Credfaz</t>
  </si>
  <si>
    <t>Sicoob Credibrasília</t>
  </si>
  <si>
    <t>Sicoob Crediembrapa</t>
  </si>
  <si>
    <t>Sicoob Credijur</t>
  </si>
  <si>
    <t>Sicoob Cooperplan Credsef</t>
  </si>
  <si>
    <t>Sicoob DFMil</t>
  </si>
  <si>
    <t>Sicoob Cerrado</t>
  </si>
  <si>
    <t>Sicoob Empresarial</t>
  </si>
  <si>
    <t>Sicoob Emprecred</t>
  </si>
  <si>
    <t>Sicoob Secovicred</t>
  </si>
  <si>
    <t>Sicoob Juriscredcelg</t>
  </si>
  <si>
    <t>Sicoob Credicer</t>
  </si>
  <si>
    <t>Sicoob Crediadag</t>
  </si>
  <si>
    <t>Sicoob Credi-Rural</t>
  </si>
  <si>
    <t>Sicoob Agrorural</t>
  </si>
  <si>
    <t>Sicoob Tocantins</t>
  </si>
  <si>
    <t>Sicoob Centro-Sul</t>
  </si>
  <si>
    <t>Sicoob Credicapa</t>
  </si>
  <si>
    <t>Sicoob Judiciário</t>
  </si>
  <si>
    <t>Sicoob Credijustra</t>
  </si>
  <si>
    <t>Sicoob Palmeiras</t>
  </si>
  <si>
    <t>Sicoob do Vale</t>
  </si>
  <si>
    <t>BALANCETE</t>
  </si>
  <si>
    <t>Baixa de Relatórios Balancete</t>
  </si>
  <si>
    <t>Automatizar o download diário dos relatórios financeiros do mês anterior, neste caso o relatório de Balencete. Após anexar no sharepoint, são processados por um power b.i.</t>
  </si>
  <si>
    <t>Supervisão e Risco</t>
  </si>
  <si>
    <t>BaixaRelatoriosBalancete_</t>
  </si>
  <si>
    <t>Nome Cooperativa 1</t>
  </si>
  <si>
    <t>Nome Cooperativa 2</t>
  </si>
  <si>
    <t>Executivo</t>
  </si>
  <si>
    <t>Credfaz</t>
  </si>
  <si>
    <t>Credibrasília</t>
  </si>
  <si>
    <t>Crediembrapa</t>
  </si>
  <si>
    <t>Credijur</t>
  </si>
  <si>
    <t>Cooperplan Credsef</t>
  </si>
  <si>
    <t>DFMil</t>
  </si>
  <si>
    <t>Cerrado</t>
  </si>
  <si>
    <t>Empresarial</t>
  </si>
  <si>
    <t>Emprecred</t>
  </si>
  <si>
    <t>Secovicred</t>
  </si>
  <si>
    <t>Juriscredcelg</t>
  </si>
  <si>
    <t>Credicer</t>
  </si>
  <si>
    <t>Crediadag</t>
  </si>
  <si>
    <t>Credi-Rural</t>
  </si>
  <si>
    <t>Agrorural</t>
  </si>
  <si>
    <t>Tocantins</t>
  </si>
  <si>
    <t>Nova Central</t>
  </si>
  <si>
    <t>Centro-Sul</t>
  </si>
  <si>
    <t>Credicapa</t>
  </si>
  <si>
    <t>Judiciário</t>
  </si>
  <si>
    <t>Credijustra</t>
  </si>
  <si>
    <t>Palmeiras</t>
  </si>
  <si>
    <t>Do Vale</t>
  </si>
  <si>
    <t>RPA - Baixa de Relatórios Balancete</t>
  </si>
  <si>
    <t>Extensao</t>
  </si>
  <si>
    <t>.xls</t>
  </si>
  <si>
    <t>MailDestinatarioResultadoTI</t>
  </si>
  <si>
    <t>Destinatarios com os StakeHolders do processo</t>
  </si>
  <si>
    <t>Destinatarios com apenas área de t.i</t>
  </si>
  <si>
    <t>TopMailFalha</t>
  </si>
  <si>
    <t>TopMailResultado2</t>
  </si>
  <si>
    <t>TopMail utilizado no Dispatcher</t>
  </si>
  <si>
    <t>TopMail utilizado no Performer</t>
  </si>
  <si>
    <t>BottomMail utilizado no Dispatcher e Performer</t>
  </si>
  <si>
    <t>TopMail utilizado no Performer em caso de falha genérica</t>
  </si>
  <si>
    <t>&lt;!DOCTYPE html&gt;
&lt;html lang="pt-br"&gt;
&lt;head&gt;
    &lt;meta charset="ISO-8859-1"&gt;
    &lt;meta name="viewport" content="width=device-width,initial-scale=1"&gt;
    &lt;style&gt;
        body {
            font-family: Arial, sans-serif;
            font-size: 10px;
        }
        h1 {
            font-family: Tahoma, sans-serif;
            color: #fff
        }
        table {
            border: 1px dashed;
            border-collapse: collapse;
            width: 50%;
            overflow: hidden;
	    border-spacing: 1px;
            padding: 4px
                    }
        td,
        th {
            border: 2px double black;
            padding: 2px;
            text-align: left;
            border-radius: 3px;
            word-break: break-word
        }
        th {
            background-color: #00AE9D;
            color: #fff
        }
        td {
            background-color: white;
            padding: 2px;
        }
    	tr {
	        padding: 2px
	    }
        tr:hover td {
            background-color: #f5f5f5
        }
    &lt;/style&gt;
&lt;/head&gt;
&lt;body&gt;
    &lt;p&gt;&lt;strong&gt;Prezados&lt;br&gt;Segue abaixo o report de execução das cooperativas processadas:&lt;/strong&gt;&lt;br&gt;&lt;br&gt;&lt;strong&gt;Resultados:&lt;/strong&gt;&lt;br&gt;&amp;nbsp;&lt;/p&gt;</t>
  </si>
  <si>
    <t>&lt;!DOCTYPE html&gt;
&lt;html lang="pt-br"&gt;
&lt;head&gt;
    &lt;meta charset="ISO-8859-1"&gt;
    &lt;meta name="viewport" content="width=device-width,initial-scale=1"&gt;
    &lt;style&gt;
        body {
            font-family: Arial, sans-serif;
            font-size: 10px;
        }
        h1 {
            font-family: Tahoma, sans-serif;
            color: #fff
        }
        table {
            border: 1px dashed;
            border-collapse: collapse;
            width: 50%;
            overflow: hidden;
	    border-spacing: 1px;
            padding: 4px
                    }
        td,
        th {
            border: 2px double black;
            padding: 2px;
            text-align: left;
            border-radius: 3px;
            word-break: break-word
        }
        th {
            background-color: #00AE9D;
            color: #fff
        }
        td {
            background-color: white;
            padding: 2px;
        }
    	tr {
	        padding: 2px
	    }
        tr:hover td {
            background-color: #f5f5f5
        }
    &lt;/style&gt;
&lt;/head&gt;
&lt;body&gt;
    &lt;p&gt;&lt;strong&gt;Prezados&lt;br&gt;Uma falha no processamento foi identificada, o processamento não executou ou parou pela seguinte razão:&lt;/strong&gt;&lt;/p&gt;</t>
  </si>
  <si>
    <t>&lt;p&gt;Acione a equipe de RPA em caso de dúvidas ou anormalidade referente as execuções.&lt;/p&gt;
&lt;br&gt;
&lt;p&gt;&lt;strong&gt;Atenciosamente,&lt;/strong&gt;&lt;/p&gt;
&lt;p&gt;&lt;strong&gt;Obrigado!&lt;/strong&gt;&lt;/p&gt;
&lt;p style="font-size: 15px; font-family: Calibri, sans-serif; margin: 0cm; line-height: 1.5;"&gt;&lt;/p&gt;
&lt;p style="font-size: 15px; font-family: Calibri, sans-serif; margin: 0cm; line-height: 1.5;"&gt;&lt;/p&gt;
&lt;p style="font-size: 15px; font-family: Calibri, sans-serif; margin: 0cm; line-height: 1.5;"&gt;&lt;strong&gt;&lt;span style="font-size: 16px; font-family: 'Tahoma',sans-serif; color: black;"&gt;SICOOB NOVA CENTRAL&lt;/span&gt;&lt;/strong&gt;&lt;/p&gt;
&lt;p style="font-size: 15px; font-family: Calibri, sans-serif; margin: 0cm; line-height: 1;"&gt;&lt;span style="font-size: 10px; font-family: 'Arial',sans-serif;"&gt;&lt;strong&gt;Tecnologia da Informação&lt;/strong&gt;&lt;/span&gt;&lt;/p&gt;
&lt;p style="font-size: 15px; font-family: Calibri, sans-serif; margin: 0cm; line-height: 1;"&gt;&lt;span style="font-size: 10px; font-family: 'Arial',sans-serif;"&gt;&lt;strong&gt;Automação de Processos&lt;/strong&gt;&lt;/span&gt;&lt;/p&gt;
&lt;p style="font-size: 15px; font-family: Calibri, sans-serif; margin: 0cm; line-height: 1;"&gt;&lt;img src="data:image/jpeg;base64,/9j/4AAQSkZJRgABAQEAYABgAAD/2wBDAAMCAgMCAgMDAwMEAwMEBQgFBQQEBQoHBwYIDAoMDAsKCwsNDhIQDQ4RDgsLEBYQERMUFRUVDA8XGBYUGBIUFRT/2wBDAQMEBAUEBQkFBQkUDQsNFBQUFBQUFBQUFBQUFBQUFBQUFBQUFBQUFBQUFBQUFBQUFBQUFBQUFBQUFBQUFBQUFBT/wAARCABuAT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9U6KKKACiszWPE2j+H/LGq6rY6b5n3PtlykW7HpuIzWd/wsvwh/0NWif+DGH/AOKrnniaFN8s5pPzaJ5ordnSUVzf/Cy/CH/Q1aJ/4MYf/iqRviZ4PVST4r0MADJJ1GHgev3qlYrDydlUV/VC9pBatnS0Vyf/AAtvwN/0Ofh7/wAGsH/xdH/C2/A3/Q5+Hv8Awawf/F12cr7GP1qh/wA/F96Osork/wDhbfgb/oc/D3/g1g/+Lo/4W34G/wChz8Pf+DWD/wCLo5X2D61Q/wCfi+9HWUViaJ438OeJrh7fR9f0vVZ0Xe0VjeRzMq+pCsSBW3Um0ZxqLmg7oKKKKCwooooAKKKKACiiigAooooAKKKKACiiigAooooAKKKKACiiigAooooAKKKKACiiigAooooAKKKKAPkL9qTQtQsfiL/aVwWksb6BPszdk2KFdPz+b/gdeOV92fFvwDH8RfBd3pwCi+j/AH9nI38Mqg4GfRhlT9c9q+Fri3ktZ5IZkaKaNijowwVYHBBHrmvwDizLZ4HHyrLWFW7Xr1X9dGeDiqbhUv0Yyiiivik3F3RxHIaxp/8AZ94Qo/cv8yfT0/D/AA9aoV9O/wDDN8/iD4HXGtiJz4kYi/s4Ocm3UHMePV1JYe4QetfMVf1jkuIr4rL6NXFK1RpX/wA/mtfI/Ls3y+WX4i1vdlqv8vl/kFFFFe2eGesfsw+G9T1/4w6LNp7NDFpzG7upl4CxAYKn/eyFx/tH0NfoNXkn7NXwq/4Vn4AikvIdmuartubzcPmjGP3cX/AQTn/aZq82/bK/bc0z9mm3h0LR7OHXfHN5D50drMxFvZRnIWSbackkg4QEEgEkqMZ4J3qztE/bciwn9l4BSruzl7z8r7L1sfUlFfhh44/bR+NXj68knvfiFrGnxsSRbaNObCJB/dAh2kj/AHiT6k1keGf2q/jD4R1CO80/4k+JTIhyI7zUZLuE/WKUsh/EVr9Ulbc9D+1Kd/hdj95qK8X/AGQ/jnd/tDfA/SfFepW0VrrAllsr9LcERNNGQC6A9AylWx2JI7V8i/8ABRj9oz4k/CD486Npfg7xdfaFp0nh+3untbfYY2lNxcqXIZTyQij8BXPGlKU+TqehUxMKdJVt0z9IqK/Pr9gn9uTxp8WviMvw/wDH01vrE93ayz2GrR26QTCSNd7RyKgCMCgYggAgrznPH6C1NSm6b5WaUa0MRDngFFfDn7Un/BSzSPhjqt74X+HVnbeJ9ftmaK51W5YmwtpBwUUKQZmB64IUHu3IHwl4y/bQ+Nnjm5klvviJrNkjHIh0ib7BGo/ugQbcj65Prmt4Yac1fY462YUaT5Vq/I/dCivwa8L/ALVnxh8IanHfaf8AEnxI8qNu8u+1GS7hb/eilLI34iv2I/ZT+NVx8fvgb4f8YX1rHZ6pP5lvexQgiPzonKMyZ6K2A2O27GTjNTVoSpK7Lw2NhiW4pWZ67RXx/wDtgf8ABQDSvgHfT+E/CVrb+IvGyr/pDTMTaacSMgSbSC8nQ7ARjOSR0P50+Nv2xvjP4+vJLjUPiJrdorHIt9JuTYQqPTZDtBA98n3p08POavsRXzClRly7s/daivwU8OftRfF7wpeJc6d8SfEyupyI7jU5biI/WOQsh/EV9v8A7Kv/AAU0k8SazY+FfiylraT3TrDbeJrZBDEXPAFzH91Mn/louFHGVAywqeFnFXWpNLMaVR8stD9DKKTOeRyK4P41/Gzwv8A/At14p8VXhgtIz5cFtEA093MQSsUS5GWOD6AAEkgAmuRJt2R6cpKK5pbHe0V+Onxl/wCCknxX+JGoXEXh2/XwJoRJEVrpeDclexkuGG7d/ubB7d68P/4aE+Kf2r7T/wALK8X/AGjOfM/t263fn5ldscJJrVnkTzSlF2imz9+6K/HH4N/8FIvix8N9Rt4/EGojx1oQIEtpquBcBe5juAN27/f3j271+qXwV+NXhj4+eA7TxV4VuzPZyny57eUBZ7SYAFopVBOGGR7EEEEgg1hUoyp77HZh8XTxGkd+x3lFfnB/wUZ/aY+Jvwm+NOm+HPCHi260HR5dCgvHt7WKLJlaadWbeUL9EUYzjivjy6/a0+M94xL/ABP8UKT/AM8tTljH/jpFaww0pxUrnNVzGnSm4cr0P3ior8I9N/a++NWkyrJB8TfEjspzi5vnnH5Sbga+lP2ff+Co/ivRtcstL+KcUGvaHM4jk1q1t1hvLXJxvZEASRR3AVWxk5Y8ElhZxV1qKnmVGTtJNH6kUVBY3tvqVnb3dpMlza3EayxTRMGSRGGVYEdQQQc1PXGeuFFFFABRRRQAV8p/tQ/Dn+xNdj8T2UWLLUW2XIUcJPjr/wADAz9QfWvqysbxf4XtPGfhu/0a9XMF1GU3YyUbqrj3BAP4V4Od5ZHNsFKh9reL7Nf57P1MK1P2sHHqfnxXf/BP4dt8RPGkFvNGTpdpi4vG7FQeE+rHj6ZPauS1/wAO3vhvxBeaPeREXttMYWRRncc8EeoIwR6givXfAPiHU/h3pLWemSxQvMwkuJPKVy746ZOeB0H59zX8308ZgsrxUJ5mnyResUrttdLNrS+55mDwssRUt0W59XoqxqqqoVVGAqjAA9K+Df2pvhT/AMK+8dtqVjDs0TWS08W0fLFNnMkfsMncPZsD7te0/wDC4/FP/P8AR/8AgOn+FYPjTxRe/ELRxpfiAQ6hZCRZljMQQq4yAwZcEHBI4PQmv1Kn4rZFTfwVP/AY/wDyRvnORSzTDeyTSmtYv+lsz5Kr239lb4U/8J946XVb6Hfouiss8m4fLLN1jj9wCNx9lAP3q0rX4W+Hr66it4NFWSaVwiIs82SxOAPv19b/AA48A6b8N/C1vo+mW6QICZZipJ3ytjc2SST0AGewFfb5FxhguJVUWBpzSha7kklr0VpPX+ux8VguD8RhMTCrjJRcVrZNu9tt0tDqK/Bn9qvxFfeKf2kviXfai7NcLr95aKG6rHDK0Ma/gkaj8K/eavy8/wCCiX7HGvab411X4peENOm1XQtTP2nV7S1QvLZT4w820cmN8biwztYsTgYr7HCyUZ69T7HMqc50k49DzL/gn38G/hZ8ZvH2t6d8R7pZruCGE6Rosl41st+zF/NO5SrMyBUwisMhycEDj718Tf8ABOH4D+IbV44PCtzoc7DAudM1O4Dr7hZHdM/Va/GBWKMGUlWByCOor6L+Cv7e3xZ+Dc1tbnXJPFegxkBtL152nG30jmP7xMDpglR/dNdlWnUk+aEjysNiKEI8lWF/M/Wj4AfA/SP2evhva+DdFu7i/tILie4N1dhRLI0khYbtoAyF2rkAZ254r83f+CsX/Jx+hf8AYr23/pVd1+iH7OH7SPhj9pbwQdd0AvaXtsyw6jpNwwM1nKRkAkfeRsEq44OD0IIH53/8FYv+Tj9C/wCxXtv/AEqu65KHN7b3tz08dyPCr2e2ljhf+CcP/J33gz/rjf8A/pFNX3p/wUa+P158GfgvHpGiXTWniLxVI9jDPG22SC2VQbiRD1DYZEB6jzMjkCvgv/gnD/yd94M/643/AP6RTV6f/wAFbtYmn+NXg/SmY/Z7Xw+LpF7BpbmZWP5Qr+VdFSKlXSfY4qNR08FNre9vyPhlEaR1RFLMxwFUZJPpX6afs2/8EvfD6+GbHXPiy95f6vdxrN/wj9rOYIbVWGQkrph2kHfaygHI+bGa+Jf2SdCtPEn7THw2sb5Fktm1q3lZGGQ3lt5gUjuCUAx71+8FLE1ZRtGI8uw0Kt6k1ex806t/wTn+AWp2Zhi8GS6bJjC3Fpq13vX3+eVlJ+oNTePG0T9hP9kfVovDEk8w0qOWLTH1Blkllu7mZtjPgKG2tJuIAHyx19IV8Nf8FatTmt/gl4SsUYrDc+IFkkx32W82Af8AvvP4Vx05SqSUZO6PWrRhh6cqlOKTt0Pyx1DULrVtQub69uJLu8upWmnuJmLPJIxJZmJ6kkkk+9fo5+w3+wL4V8TfD3TviB8SdPbWZtXTz9M0eSRo4Irc/clkCkF2cfMATtCkZBJ4/Nuv6I/B+k2+g+EdE0y0VUtbKxgtolXoESNVUD8AK7sVUcIpR6njZbRjVnKU1ex8d/tUf8E6/A3iD4f6prfw30VfDnivTYGuY7Ozkc29+qDJiKMSFcgHay45wDnOR+UFf0d1/Pp8ZNKt9B+L3jjTbRVS1s9dvreFV6BEuHVQPwAqcLUlK8WXmVCFNxnBWufrF/wTk+NV38WvgDDp+q3DXOteF5/7LllkOXlg2hoHb/gJKZ6nysnrXwN/wUD+Od18YPj9q+nQ3LN4d8LyyaVYQqfkMiHFxL7lpFIz3VEr2/8A4JGanNaax8UoRloPsVlcMvbcjTgfoxr8/wDUL6fVL+5vblzJc3ErTSuerMxJJ/M1VOmlWk/61M8RXlLC04vrf8D2n9kH9myf9pn4qJoc1xLYeH7CH7bqt5CBvWIMAI0yMb3Y4GegDNg7cH9RLn9gH4E3Hhk6MPAsEK7Novo7qYXYbH3/ADS+Sc84OR7Y4rwX/gkRpFvD4F+IWqKo+13GpW1s7d9kcTMo/OVq/QCubEVZc9k9j0cDhqfsVKUbtn4QftR/AC9/Zv8Ai5f+E57hr7T2jW80y9dQGntXJClgONylWQ44yhI4Ir07/gnL8a7r4X/tA6boM1wV0Dxay6Zcws3yi4Ofs0gH97edn0lb2r23/gr/AKXBHefC7UlVRdSx6lbu3dkQ2zL+ALv/AN9V8GfDO+m034keFLy3JW4t9WtJYyOoZZkI/UV2x/e0ve6nj1F9VxVodGfVX/BV3/k5LR/+xZtf/Si6rgP+Cfng3QvHn7TOiaR4j0ey13S5LO7key1CBZoWZYWKkowIODzXf/8ABV3/AJOS0f8A7Fm1/wDSi6r5J8KeMNd8C61Hq/hzWL7QtUjVkS90+4aCVVYYYBlIOCODRTTlRSXYK8lDFuTV0mfqp+3J+zP8HdD/AGffE3iO38MaL4Q1nTYlk0+80q3SzMs5cBYSiALJvyRggkdRjFfknXReLviP4s+IEkUnijxPrPiN4smNtWv5brZn+7vY4/CvWP2P5Pgxb/Emyn+LsmoCFJ0NkhjU6Z5mRg3ZB37c9gNvHznbkU4RdKDu7irVI4qquRKJ+tX7KNjqWmfs1/Da21ZXS+j0O1DJICGRCgMakHoQhUY7Yr1eoraaG4t4pbd0lgkQNG8ZBVlIyCCOCMVLXiyd22fXQjyxUewUUUUiwooooAKKKKAPGfjn8N4L6+tfF0EWbm1TyrhVH3hnCSH3XJH4qf4a8lr67uraK8t5YJkEkMqlHRujKRgivmDxp4Zl8J+ILmwfJiB3wyH+OM9D/Q+4NfzN4o5FOhiIZtS/hz92S7S7/wDby/FeaO/CcsbxS1eph0UVo+HdDn8Saza6dbj95M+C2OFXqWPsBmvwyhRqYmrGhRV5SaSXdvRHoN2V2ekfBDwh59xJr9ynyREx2wI6t/E34Dj8T6V7PVTStMg0bTbaxtU2QQIEQfTufc9at1/cnDeSU+H8tp4KGslrJ95Pd/ovJI8WpN1JXCoo7mGWaWFJUeWLHmRqwLJkZGR2yKlr8TP2rPjZ4gl/a18f+IvDPiDUdFntdQOmQ3Om3bwNstlWDAZCMqWjZvQ7j619fSpOq2jzsViVhoqTV7n6Y/GT9hX4RfGZ7i8vfD40DW5ssdV0Ei2kZjyWdADG5J6llJ96/Jj9pb4F3P7Ovxa1LwbPqcesRQxx3FveRpsMkMgyu9Mnaw5BGT0z0NdVaft5fHqyshax/EW+aLG3dNa20kn/AH20RbPvmvF/E/ijV/GmvXmt69qV1q+rXj+ZcXl5KZJZDjAyx9AAAOgAAHAr0qNOpTfvO6PnsVXoVlenCzPqz/glv4mvdH/aY/suCR/sWraTcw3MQPynywsqMR6goQD/ALZ9a0v+CsX/ACcfoX/Yr23/AKVXdewf8Ev/ANmfWPCr6h8U/EtjLpzX9p9i0W1uFKyPC7K0lwVPIDbVVM9QWPQqT4//AMFYv+Tj9C/7Fe2/9Krus1JSxGnY3lCUMB73VnC/8E4f+TvvBn/XG/8A/SKavdP+CungW4j8ReAvGUcRa1mtZtImlA4R0fzY1P8AvCSXH+4a8L/4Jw/8nfeDP+uN/wD+kU1fq/8AH34K6P8AtAfC7V/BusHyUulElreKu5rS4XmOVR3weCMjKlhnmorT9nWUn2NMLRdbBzgt7/5H4VfDvxpd/Djx94d8VWCh7vRr+C/jjJwHMbhthPo2MH2NfvZ8Lfij4d+MfgnTvFPhi/jvtMvIw3ykb4HwN0Ui/wALqeCD/Ig1+Fvxl+CPi74D+L5/D3i3S5LK4Usbe6UFre7jB4khfGGU8e4zggHiszwD8VPGHws1F77wj4k1Lw9cyYEhsLho1lA6B1B2uPZga3q0lWSaZx4XFSwcnGa0P6Eq+RP+CoHgWfxZ+zQ2qWsbSSeHtVt9Qk2jJ8lg8D/gDMjH2U1+eWoftxfHXVLU283xI1VIyMbrdIYH/wC+0QN+tfpb+xL4gHx0/ZB02y8Wzy+IpJxfaRqsl9K0slwplfh3YliTFIgyTnvXE6UqFps9iOJhjVKjFWuj8X6/eP8AZZ+LFj8ZvgT4S8Q2lwk10LKOz1CNTlobuJAkqsOoyRuGeqsp71+RP7U37LfiP9mnxvPZXkE174XupWOk60E/dzx9QjkcLKo+8vfGRwa5H4R/Hrx78C9SnvfBPiO50VrjAuIAqSwT46b4nDISOcNjIycEZrtq01XgnFnj4as8FVaqL1P3b+IXjrSvhn4J1rxTrdwttpelWr3MzscE7Rwi+rMcKB3JAr+fbxHrlx4m8QaprF3j7VqF1LdzY6b5HLt+pNei/GL9qT4m/Hi1gs/GXiea/wBNhfzI9Pgijt7fcOjFI1UMw5wWyRk4xVP4C/ADxZ+0N42t/D/hmzYxBlN9qciH7PYxE8vI3rjOF6sRgd8KjS9jFuTKxeI+uTjGmj70/wCCSHgOfTvAfjnxbPEVi1a+g0+3LD7y26MzsPUFpwM+qH0r87/i94FuPhn8UfFfhW5jaJ9J1Ke1XcPvRq58tx7Mm1h7EV+8Pwp+Guj/AAf+Hmh+D9CjKabpVuIUZgN8rZLPI2P4ncsx92NfGf8AwUc/Y71L4hP/AMLP8E2DX2t20Ai1nTLdN0t1Egwk8ajlnRflK9SoXHK4PPSrL2rb2Z3YnByWGio6uP67nm//AASd+LFjoPjLxX4C1C5SCXXIor7ThI2A80IcSRj1YowbHpE1fqBX85un6heaJqVve2VzPYX9rIJYbiBzHLFIpyGVhgqwI6jkV7/P/wAFAvjzceHDo7eOpViKeUbtLK3W624x/rRHuB/2gd3vWlbDupLmizDCY+NGn7Oa22PUP+CqXxUsvGXxk0Twpp06XMXhaydbl0bIS6nZWkj+qpHDn0JIPIr59/ZV8C3HxH/aK8AaJBGZEbVobq4wM4ghbzpSfT5I2/EivM/9N1zU/wDlvqGoXk3+1LLNK7fiWZifqSa/WH/gnn+x/e/BPR7nxx4wtfs3jDV4BDb2Eg+fTrUkMQ/pK5Ckj+EKB1LCtZNUKXKc9KMsZiee2l7s+Yv+Crv/ACclo/8A2LNr/wClF1XCf8E8/C2i+Mv2ndE0zX9IsNc02SyvGez1K2S4hYrCxUlHBBIPI4ru/wDgq7/yclo//Ys2v/pRdV81fBf4xa98CPH1p4v8NLZvqtrFJEi30RkiKyKVbKhgeh9aIJyopLsTWkoYxylsmfrB+01+xv8ACTxJ8I/FWoWnhPR/CeraXptxf2up6PbJZiN4o2ceYsYCuh24IYHgkgg4NfjNX0H8Y/27Pi18bPDc/h7WNWtNM0S5G25stHtvIFwuc7XYlnK+q7gD3BrxjwT4H174jeJrHw/4a0u41jWLx9kNrbJuY+pJ6Ko6ljgAckgU6MJU4vnYsXVp15r2Mf8Agn67/wDBNXxtqPjL9l3TIdRled9Ev7jSoJZDkmFAkkYz6KJdg9AgHavqivKv2Yfgon7P/wAFdA8HmZLm/gRri/uI/uyXMh3SbfVRkID3VBmvVa8mo1KbaPqaEZRpRjLdIKKKKzNwooooAKKKKACuF+LXhD/hJPD5uoE3X9iDImBy6fxL/UfT3ruqK8vNMuoZtg6uBxC92at6dmvNPVFRk4tSR8f17r8FfCH9l6S2sXKYurxcRZHKxev/AAI8/QClvPgfpt3r7XovJIrJ5PMazWMeuSobPA/CvSI41ijVEUIijaqqMAAdq/GuCeBMTlGYzxuZxX7vSnZp3v8Ab8tNk9ddlZHZWrqceWI6iiiv3k4Qrw34lfsT/Br4qX0+oax4LtbbU53Mkl9pUj2cjueSzCMhXYnkllJzXuVFVGTjqmRKEaitNXPjST/glP8AByS581dT8WxpnPkrqEGz6cwFv1r034Z/sK/Bj4W30Ooad4Rj1TU4SGjvNala8ZWHRgjnywQechQR6179RVurN6NmMcNRi7qCCvGPjL+yH8M/j34pt/EPjLSLq/1S3s0sY5Ib6WACJXdwNqMBndI3PvXs9eQ/HT4va18Mr7RodJtLK6F5HK8guo3cjYV6bXXsT615uMx1PLaEsTVbUVbbfV2LrcnJeoroxfhb+xL8Jvg342sPFnhfRbuz1uyWRYZpdQmlVRJG0bfKzEH5WNe8VieDfFVp428M2Gs2R/c3Ue4pnJjboyH3ByK4z4FfE7VPido+p3eqW9nbyWtwsSCzR1BBXPO5m5pSzCjKrRp813VTcezSSf6ih7OnaMFa/Y7Lxj4G8PfELRZNI8TaJY69pknLWuoQLKmezAMOCOxHIr5s8Tf8Eyfgf4guHmtdN1jw/uOTHpmpMV/ATCTH0FfV9FejGco/Cxzo06nxxTPj/Sf+CWfwW02ZXuJPEuqqOsd3qSKp+vlRIf1r6S+F/wAJvCfwY8Ljw94N0ePRNI81rgwRyPIXkYKC7M7MzEhVGSewrrqKcqk5fExU6FKm7wikZniLwzpPjDRrnSdc0y01jS7lds1nfQrNFIPdWBBr5h8X/wDBMf4JeKLyS4tLLWfDRkO4x6PqHyZ9lmWTA9hx6V9Y0UozlH4WVUo06vxxufJHhf8A4JffBPw/dJNeQa94jCnPlapqQVD9fISI/rX034N8D+H/AIe6HDo3hnRbHQtLi5W1sIFiTPdiAOWPcnk961NQ1C20mxuL28mS3tbdDJLLIcKqgZJNeKL8dPFfjW+uY/AfhH+0LOFtn22+YqjH3+ZQvHbdmvNx2aUcI4wrSblLaKTk36JGKjRw/wAMbN9lqe50Vw/w38QeMtae/i8W+H4NFe3CeVJbyblmJ3bsDc3TA79xXcVvh68cTTVWKaT6NNP7nqdMZcyujxD4tfsY/CP40X02pa94Vht9YmJaTU9Lka0nkY9WfZ8sje7qxryGH/glJ8HY7rzm1bxdLHnP2d7+32fTItw3619m0V2qrOKsmYSw1GbvKKueSfCP9lP4W/A+dbvwp4TtbbVFGP7Uu2a5uhkYO2SQkpnuE2j2r1uiuV8HfEjSPHWp6zZaX9oZtKdI55JY9qlmLjC85OPLPUDqK5amIhGpGFSXvSvZdXZXdvRGsVCnaMVY87+OH7Hfw1/aD8RQa94t0++k1eG1WyS6s714T5Ss7Ku3leC7c4zzXlL/APBK74MNJuF14oQf3V1GLH6w5r7EorqVWcVZMylh6M3zSirnylov/BMr4GaXMr3Ok6tq4B+5e6pIqn/v1sP61778O/g/4K+Eti9p4P8ADGm+H4pABI1nAFklx03yH5n/AOBE12FeXftEeNNZ8C+CrK/0O8+w3cmoJA0nlJJlDHKxGHUjqq/lXDjscsHh54mtdxiru2/6B7OlQTnGNrHqNFZnhe8m1Hw1pN3cP5lxPaQyyPgDczICTgcDk9q062hJTipLqdCd1cKKKKsYUUUUAFFFFABRRRQAUUUUAFFFFABRRRQAUUUUAFeEfHqNZvin8MopFDxyXyo6noymaIEH2IJFe714V8df+SsfC7/sIJ/6Phr5viH/AJF7/wAUP/S4nNiP4f3fmVfhfdS/CX4rar4DvHYaTqLm50yRycAkZUfioKk/3ox61F+yvex6P4J8U3d1mOG1uPNl45CrHk/oDXXftBeB5vEHhuHXdMDLrmhP9qhaMfM0YILAe4wGH+6R3rj/ANmexHiXwJ4zs5ztXUJmhkIHTzIiDx+NfN06NXBZtRwaXuwVR0/8Mkvd/wC3WmvRo5kpQrRh2vYTwZ/wm3x2bUtaPim68LaPFOYbW308EEkAHBIZSQAVySTkkjjFa/wy8aeIB4y134d+Kb97u8hif7NqUZ2S42g/eGDkqwYHqMHk8Y5n4a+P5vgPa6j4a8X6TfRJ9paa1ubaEOkmQAQCSAQdoII9SDit34SaDq3jL4qax8Q9R0+bS7GVTHZxXC7Xk+URg49Ai8noSeM4NYYGq5ywvspyeIcv3qbl8OvNzJ6K2nLt5Ewd3GzfN1LH7PvirVYdY8WeGPEWo3N9fabMZVmvZmkbYpKPgsSQvCEc4+al+A+tax468XeKvEl1qV9Lo6zNBZWb3DmBdzbuEJwCqBB0/jNcn8f47r4d/ERvEOnrsi17TZ7SUrx+88vyyfyMbfUGvWfh/wCEL7wd8HotNsFEetvYyTjfxi6dCwB+hKr/AMBrry/27xawU22sM5t/3r/w/XRv7i6fNz8j+zf/AIBwPj201Dw9BqN1efFyWDXYvMmg02ORY0OMlY2jU9SMDJGM9q774FeO7v4geAor7UGEl/bzvazyhQvmMoVg2AMZKsuccZrwTwBfaNpmi67pGreELrW/HU8koj+1Wom25UAMxc/JtbcxbH4+nqP7JX/JOdS/7Csn/omGsMnxsquY03B2jOMrx5pSs018TlpzLrbZfImjO9RW6+pd/am1Kax+F4ii3Bby+iglwcfLtd+fxRa7f4X6Ta6L8PPD1tZqqxGyilLKPvs6hmb8SSfxpnxS8Dr8QvBd9o+8RXDYlt5D0WVeVz7HkH2Jrx3wX8Y9W+EelJ4c8aeH9Q8ux/dQXlugOY88LyQrAdAwbpx2r2sRWhl2bSxWK0pzgkpW0TTbadtr7m8pKnW5p7NHvniPXIPDOg6hq1zkwWcDzso6ttGcD3PT8a+e9A13UfiNps+u6v8AFK38KXUrv9j0q3vY4FiCkgeYu8EgnseSOc816NpvjK1+O3hPxNpdjp99pkT2vlQ3F9GFWRnDbSNpIwCozz3rx3wleeFfANi2ifEHwRMup28rql8LfeJlJJHJYZxkgFcggCuDNsZ9YrUakZr6vKMtW5Ri5Xtq467bX0M60+Zpp+78zv8AwD8TtV8WfCTxsl9dh9a0WyuFF9avtLjyXMcgZf4so3zD0B61zPw3034hfFLwO0sPjG60q3s3kihcyO893Lned8m4Mqjcqjk9OldzpreGr74Q+N9R8N6BLoEE1hdQyJPB5TzbIGKtjJyPnbBz6039lf8A5Jg//X/N/wCgpWNGhPE4rC4bE1nNOnK7jJrm97TXR7W9WhKLlKMZO+jKPwV8Wa38TvAviHQtR1W4tdXsmWEalEcTIr5wcgjLAowzn0rgvgX4F1HXvE3ib7N4o1HSv7MvIfO+zOw+2/PL/rMMM/cPXP3zXT/so/8AIV8df9drf/0Kesv4a+KG+E3xQ8TaLrOl3xl1q+RLZ4YwQcSSbX5IyhEmcjOMdK86i4V6WW4rGttXnFyu+nMo3a6tpevUyjaSpyn5/wDANf41eLvE2hfGbw/ZaBeXHmXNgiRWPnMLd5pJJo1d0ztOCVPI/hHpXa6P4H8Y6X4K1K0vvGrDV7i5Wf8AtNgZVt48LvRQ/QcMRjH4Vw/xX/5OW8Df9cbX/wBKJq3v2pbPW7zwRaDTI5pbBLjffJACTtA+QsB1UHOe2dp7V6al7OWYYufNP2cmlFSa3ir7bevS10a7OpN3djgvGni6++G11ZajoPxMl8VzecI7rT7icTIRg5IAJULxg45GRzXX/tQX6ar8JdCvYxiO51CCZR6BoJSP515t8Rda8K658PLZfCPhGSwhtpY2u9VmtUUrwVEXm5LOxYgnn+H8u5/aAOfgN4PI5HnWf/pLJXjSrylhcfTjNOHJGSs5NXbd7OWvr0uY83uzSelv63PbPBf/ACJug/8AXhb/APota2qxfBf/ACJug/8AXhb/APota2q/VqH8KHovyPVj8KCiiitygooooAKKKKACiiigAooooAKKKKACiiigAooooAKKKKACiiigAooooAKKKKACiiigAooooAKKKKACiiigAooooAKKKKACiiigAooooAKKKKAP/9k=" alt="" width="250" height="129"&gt;&lt;/p&gt;
&lt;p style="font-size: 15px; font-family: Calibri, sans-serif; margin: 0cm; line-height: 1;"&gt;&lt;span style="font-size: 10px; font-family: 'Arial',sans-serif;"&gt;Rua 15, 1250 - Setor Marista -&lt;/span&gt;&lt;span style="font-size: 10px; font-family: 'Arial',sans-serif;"&gt;Goiânia, GO - 74150-020&lt;/span&gt;&lt;/p&gt;
&lt;p style="font-size: 15px; font-family: Calibri, sans-serif; margin: 0cm; line-height: 1;"&gt;&lt;strong&gt;&lt;span style="font-size: 13px;"&gt;Tel.:(62)3523-8100 | &lt;a href="https://www.sicoob.com.br"&gt;&lt;span style="font-family: 'Times',serif;"&gt;www.sicoob.com.br&lt;/span&gt;&lt;/a&gt;&lt;/span&gt;&lt;/strong&gt;&lt;/p&gt;
&lt;/body&gt;
&lt;/html&gt;</t>
  </si>
  <si>
    <t>NomeModulo-Sisbr</t>
  </si>
  <si>
    <t>PLATAFORMA CONTÁBIL</t>
  </si>
  <si>
    <t>BALANCETE ANUAL</t>
  </si>
  <si>
    <t>Projetos/Supervisão e Risco - Baixa de Relatórios Balancete</t>
  </si>
  <si>
    <t>silvankley.silva@sicoobnovacentral.com.br;jefferson.souza@sicoobnovacentral.com.br;rpa-dev@sicoobnovacentral.com.br;sergio.oliveira@sicoobnovacentral.com.br</t>
  </si>
  <si>
    <t>https://sicoobgo.sharepoint.com/sites/1004.supervisaoriscos-sharepoint/Documentos Compartilhados/Supervisão e Riscos/DAT/RPA/Balancete/{YYYY-MM}</t>
  </si>
  <si>
    <t>rpa-dev@sicoobnovacentral.com.br;silvankley.silva@sicoobnovacentral.com.br;jefferson.souza@sicoobnovacentral.com.br</t>
  </si>
  <si>
    <t>Ativo</t>
  </si>
  <si>
    <t>Unicidades</t>
  </si>
  <si>
    <t>Sicoob Unicidades</t>
  </si>
  <si>
    <t>Coopercred</t>
  </si>
  <si>
    <t>Sicoob Coopercred</t>
  </si>
  <si>
    <t>Mineiros</t>
  </si>
  <si>
    <t>Sicoob Mineiros</t>
  </si>
  <si>
    <t>Credigoiás</t>
  </si>
  <si>
    <t>Sicoob Credigoiás</t>
  </si>
  <si>
    <t>Centro Oeste</t>
  </si>
  <si>
    <t>Sicoob Centro Oeste</t>
  </si>
  <si>
    <t>Credi Comigo</t>
  </si>
  <si>
    <t>Sicoob Credi Comigo</t>
  </si>
  <si>
    <t>Cooprem</t>
  </si>
  <si>
    <t>Sicoob Cooprem</t>
  </si>
  <si>
    <t>wanderley.silva3056@sicoob.com.br;wesley.silva3056@sicoob.com.br;rpa-dev@sicoobnovacentral.com.br;pedro.pereira3056@sicoob.com.br</t>
  </si>
  <si>
    <t>001</t>
  </si>
  <si>
    <t>002</t>
  </si>
  <si>
    <t>003</t>
  </si>
  <si>
    <t>004</t>
  </si>
  <si>
    <t>097</t>
  </si>
  <si>
    <t>099</t>
  </si>
  <si>
    <t>https://sicoobgo.sharepoint.com/sites/automacao.1004/3056%20%20Sicoob%20Mineiros/Projetos/Balancete/97/{YYYY-MM}</t>
  </si>
  <si>
    <t>https://sicoobgo.sharepoint.com/sites/automacao.1004/3056%20%20Sicoob%20Mineiros/Projetos/Balancete/01/{YYYY-MM}</t>
  </si>
  <si>
    <t>https://sicoobgo.sharepoint.com/sites/automacao.1004/3056%20%20Sicoob%20Mineiros/Projetos/Balancete/00/{{YYYY-MM}</t>
  </si>
  <si>
    <t>https://sicoobgo.sharepoint.com/sites/automacao.1004/3056%20%20Sicoob%20Mineiros/Projetos/Balancete/02/{{YYYY-MM}</t>
  </si>
  <si>
    <t>https://sicoobgo.sharepoint.com/sites/automacao.1004/3056%20%20Sicoob%20Mineiros/Projetos/Balancete/04/{{YYYY-MM}</t>
  </si>
  <si>
    <t>https://sicoobgo.sharepoint.com/sites/automacao.1004/3056%20%20Sicoob%20Mineiros/Projetos/Balancete/03/{{YYYY-MM}</t>
  </si>
  <si>
    <t>https://sicoobgo.sharepoint.com/sites/automacao.1004/3056%20%20Sicoob%20Mineiros/Projetos/Balancete/99/{{YYYY-MM}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</si>
</sst>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1"/>
    <xf numFmtId="49" fontId="0" fillId="0" borderId="0" xfId="0" applyNumberFormat="1"/>
    <xf numFmtId="0" fontId="3" fillId="0" borderId="0" xfId="0" applyFont="1" applyAlignment="1">
      <alignment horizontal="left" wrapText="1"/>
    </xf>
    <xf numFmtId="0" fontId="0" fillId="2" borderId="0" xfId="0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14" fontId="0" fillId="2" borderId="0" xfId="0" applyNumberFormat="1" applyFill="1" applyAlignment="1">
      <alignment horizontal="left" vertical="center"/>
    </xf>
  </cellXfs>
  <cellStyles count="3">
    <cellStyle name="Hyperlink" xfId="2" xr:uid="{E717C3BB-27E5-41F6-85D2-03ACC09E5862}"/>
    <cellStyle name="Normal" xfId="0" builtinId="0"/>
    <cellStyle name="Normal 2" xfId="1" xr:uid="{83943C77-B2AC-4885-BB97-03257EC532D5}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049294-E8DD-4657-B090-0AAA26308FEF}" name="Cooperativas" displayName="Cooperativas" ref="A1:K72" totalsRowShown="0">
  <autoFilter ref="A1:K72" xr:uid="{CC049294-E8DD-4657-B090-0AAA26308FEF}">
    <filterColumn colId="5">
      <filters>
        <filter val="Mineiros"/>
      </filters>
    </filterColumn>
  </autoFilter>
  <tableColumns count="11">
    <tableColumn id="1" xr3:uid="{6FB1F9E7-9704-4A7C-AEDD-CF610AE2C593}" name="Reference" dataDxfId="3">
      <calculatedColumnFormula>D2 &amp; "_" &amp; B2 &amp; "_{Data}"</calculatedColumnFormula>
    </tableColumn>
    <tableColumn id="9" xr3:uid="{DB105911-6381-4865-8AF5-10D609E96EA1}" name="Tipo Relatorio"/>
    <tableColumn id="11" xr3:uid="{10FF3E04-02A7-439F-B451-EC0978C4153C}" name="Timeout"/>
    <tableColumn id="2" xr3:uid="{62050DD9-D75E-46FA-B0B9-BD9A13605C7D}" name="Cooperativa"/>
    <tableColumn id="3" xr3:uid="{17BCF363-EBF4-4D58-9304-65BCF6E38FA7}" name="PA" dataDxfId="2"/>
    <tableColumn id="7" xr3:uid="{D7F6F377-2DC6-44E3-88CD-B26CC4F81B6F}" name="Nome Cooperativa 1" dataDxfId="1"/>
    <tableColumn id="4" xr3:uid="{4D58E17E-5675-4F1F-8150-4AC078A5E6B0}" name="Nome Cooperativa 2"/>
    <tableColumn id="5" xr3:uid="{EF6D874C-5B48-4F16-A093-DCFFE8796A42}" name="Destinatarios"/>
    <tableColumn id="6" xr3:uid="{F67451A2-3761-4E58-87E1-2B74EF453067}" name="Sharepoint"/>
    <tableColumn id="10" xr3:uid="{1795DE1E-07A1-4113-ADAE-CA4EA3B8D815}" name="Nome Arquivo" dataDxfId="0">
      <calculatedColumnFormula xml:space="preserve"> D2 &amp; " " &amp; B2 &amp; " {YYYY-MM}" &amp; K2</calculatedColumnFormula>
    </tableColumn>
    <tableColumn id="8" xr3:uid="{31F3CEE8-65B1-4420-BCF6-3339135CC428}" name="Extensa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Z837"/>
  <sheetViews>
    <sheetView zoomScale="115" zoomScaleNormal="115" workbookViewId="0">
      <selection activeCell="B15" sqref="B15"/>
    </sheetView>
  </sheetViews>
  <sheetFormatPr defaultColWidth="14.42578125" defaultRowHeight="15" customHeight="1"/>
  <cols>
    <col min="1" max="1" width="30.7109375" customWidth="1"/>
    <col min="2" max="2" width="82.5703125" style="6" customWidth="1"/>
    <col min="3" max="3" width="67.7109375" bestFit="1" customWidth="1"/>
    <col min="4" max="26" width="8.7109375" customWidth="1"/>
  </cols>
  <sheetData>
    <row r="1" spans="1:26" ht="18.75">
      <c r="A1" s="1" t="s">
        <v>0</v>
      </c>
      <c r="B1" s="4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43</v>
      </c>
      <c r="B2" s="5" t="s">
        <v>72</v>
      </c>
      <c r="C2" s="2" t="s">
        <v>3</v>
      </c>
    </row>
    <row r="3" spans="1:26" ht="14.25" customHeight="1">
      <c r="A3" t="s">
        <v>4</v>
      </c>
      <c r="B3" s="6" t="s">
        <v>5</v>
      </c>
      <c r="C3" s="2" t="s">
        <v>59</v>
      </c>
    </row>
    <row r="4" spans="1:26" ht="14.25" customHeight="1">
      <c r="A4" t="s">
        <v>45</v>
      </c>
      <c r="B4" s="6" t="s">
        <v>46</v>
      </c>
      <c r="C4" s="2" t="s">
        <v>58</v>
      </c>
    </row>
    <row r="5" spans="1:26" ht="14.25" customHeight="1">
      <c r="C5" s="2"/>
    </row>
    <row r="6" spans="1:26" ht="14.25" customHeight="1">
      <c r="A6" t="s">
        <v>7</v>
      </c>
      <c r="B6" s="6" t="s">
        <v>164</v>
      </c>
      <c r="C6" s="7" t="s">
        <v>9</v>
      </c>
    </row>
    <row r="7" spans="1:26" ht="14.25" customHeight="1">
      <c r="A7" s="5" t="s">
        <v>10</v>
      </c>
      <c r="B7" s="6" t="s">
        <v>11</v>
      </c>
      <c r="C7" s="2" t="s">
        <v>12</v>
      </c>
    </row>
    <row r="8" spans="1:26" ht="14.25" customHeight="1"/>
    <row r="9" spans="1:26" ht="14.25" customHeight="1">
      <c r="A9" s="2" t="s">
        <v>81</v>
      </c>
      <c r="B9" s="9" t="s">
        <v>86</v>
      </c>
      <c r="C9" t="s">
        <v>154</v>
      </c>
    </row>
    <row r="10" spans="1:26" ht="14.25" customHeight="1">
      <c r="A10" s="2" t="s">
        <v>82</v>
      </c>
      <c r="B10" s="9" t="s">
        <v>160</v>
      </c>
      <c r="C10" t="s">
        <v>156</v>
      </c>
    </row>
    <row r="11" spans="1:26" ht="14.25" customHeight="1"/>
    <row r="12" spans="1:26" ht="14.25" customHeight="1">
      <c r="A12" s="2" t="s">
        <v>153</v>
      </c>
      <c r="B12" s="9" t="s">
        <v>158</v>
      </c>
      <c r="C12" t="s">
        <v>155</v>
      </c>
    </row>
    <row r="13" spans="1:26" ht="14.25" customHeight="1">
      <c r="A13" s="2" t="s">
        <v>152</v>
      </c>
      <c r="B13" s="9" t="s">
        <v>159</v>
      </c>
      <c r="C13" t="s">
        <v>157</v>
      </c>
    </row>
    <row r="14" spans="1:26" ht="14.25" customHeight="1"/>
    <row r="15" spans="1:26" ht="14.25" customHeight="1">
      <c r="A15" t="s">
        <v>83</v>
      </c>
      <c r="B15" t="s">
        <v>167</v>
      </c>
      <c r="C15" t="s">
        <v>150</v>
      </c>
    </row>
    <row r="16" spans="1:26" ht="14.25" customHeight="1">
      <c r="A16" t="s">
        <v>149</v>
      </c>
      <c r="B16" s="6" t="s">
        <v>87</v>
      </c>
      <c r="C16" t="s">
        <v>151</v>
      </c>
    </row>
    <row r="17" spans="1:2" ht="14.25" customHeight="1">
      <c r="A17" t="s">
        <v>84</v>
      </c>
      <c r="B17" t="s">
        <v>88</v>
      </c>
    </row>
    <row r="18" spans="1:2" ht="14.25" customHeight="1">
      <c r="A18" t="s">
        <v>85</v>
      </c>
      <c r="B18" s="6" t="s">
        <v>146</v>
      </c>
    </row>
    <row r="19" spans="1:2" ht="14.25" customHeight="1"/>
    <row r="20" spans="1:2" ht="14.25" customHeight="1">
      <c r="A20" t="s">
        <v>161</v>
      </c>
      <c r="B20" s="6" t="s">
        <v>162</v>
      </c>
    </row>
    <row r="21" spans="1:2" ht="14.25" customHeight="1"/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</sheetData>
  <autoFilter ref="A1:C7" xr:uid="{00000000-0001-0000-0000-000000000000}"/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Z957"/>
  <sheetViews>
    <sheetView zoomScaleNormal="100" workbookViewId="0">
      <selection activeCell="B28" sqref="B28"/>
    </sheetView>
  </sheetViews>
  <sheetFormatPr defaultColWidth="14.42578125" defaultRowHeight="15" customHeight="1"/>
  <cols>
    <col min="1" max="1" width="35.140625" bestFit="1" customWidth="1"/>
    <col min="2" max="2" width="54.7109375" style="6" customWidth="1"/>
    <col min="3" max="3" width="91.28515625" customWidth="1"/>
    <col min="4" max="26" width="8.7109375" customWidth="1"/>
  </cols>
  <sheetData>
    <row r="1" spans="1:26" ht="18.75">
      <c r="A1" s="1" t="s">
        <v>0</v>
      </c>
      <c r="B1" s="4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13</v>
      </c>
      <c r="B2" s="6">
        <v>0</v>
      </c>
      <c r="C2" s="3" t="s">
        <v>14</v>
      </c>
    </row>
    <row r="3" spans="1:26">
      <c r="A3" t="s">
        <v>15</v>
      </c>
      <c r="B3" s="6">
        <v>3</v>
      </c>
      <c r="C3" s="3" t="s">
        <v>15</v>
      </c>
    </row>
    <row r="4" spans="1:26">
      <c r="A4" t="s">
        <v>16</v>
      </c>
      <c r="B4" s="6">
        <v>3</v>
      </c>
      <c r="C4" s="3" t="s">
        <v>16</v>
      </c>
    </row>
    <row r="5" spans="1:26">
      <c r="A5" t="s">
        <v>32</v>
      </c>
      <c r="B5" s="5" t="s">
        <v>119</v>
      </c>
      <c r="C5" t="s">
        <v>33</v>
      </c>
    </row>
    <row r="6" spans="1:26" ht="14.25" customHeight="1">
      <c r="A6" t="s">
        <v>34</v>
      </c>
      <c r="B6" s="6" t="s">
        <v>35</v>
      </c>
      <c r="C6" s="2" t="s">
        <v>38</v>
      </c>
    </row>
    <row r="7" spans="1:26" ht="14.25" customHeight="1">
      <c r="A7" s="2" t="s">
        <v>36</v>
      </c>
      <c r="B7" s="5" t="s">
        <v>6</v>
      </c>
      <c r="C7" s="2" t="s">
        <v>37</v>
      </c>
    </row>
    <row r="8" spans="1:26" ht="14.25" customHeight="1">
      <c r="C8" s="3"/>
    </row>
    <row r="9" spans="1:26" ht="14.25" customHeight="1">
      <c r="A9" t="s">
        <v>17</v>
      </c>
      <c r="B9" s="6" t="s">
        <v>18</v>
      </c>
      <c r="C9" t="s">
        <v>19</v>
      </c>
    </row>
    <row r="10" spans="1:26" ht="14.25" customHeight="1">
      <c r="A10" t="s">
        <v>20</v>
      </c>
      <c r="B10" s="6" t="s">
        <v>21</v>
      </c>
      <c r="C10" t="s">
        <v>22</v>
      </c>
    </row>
    <row r="11" spans="1:26" ht="14.25" customHeight="1">
      <c r="A11" t="s">
        <v>23</v>
      </c>
      <c r="B11" s="5" t="s">
        <v>24</v>
      </c>
      <c r="C11" t="s">
        <v>25</v>
      </c>
    </row>
    <row r="12" spans="1:26" ht="14.25" customHeight="1">
      <c r="A12" t="s">
        <v>26</v>
      </c>
      <c r="B12" s="6" t="s">
        <v>27</v>
      </c>
      <c r="C12" t="s">
        <v>28</v>
      </c>
    </row>
    <row r="13" spans="1:26" ht="14.25" customHeight="1">
      <c r="A13" t="s">
        <v>29</v>
      </c>
      <c r="B13" s="6" t="s">
        <v>30</v>
      </c>
      <c r="C13" t="s">
        <v>31</v>
      </c>
    </row>
    <row r="14" spans="1:26" ht="14.25" customHeight="1"/>
    <row r="15" spans="1:26" ht="14.25" customHeight="1">
      <c r="A15" s="10" t="s">
        <v>48</v>
      </c>
      <c r="B15" s="11" t="s">
        <v>116</v>
      </c>
      <c r="C15" s="12" t="s">
        <v>49</v>
      </c>
    </row>
    <row r="16" spans="1:26" ht="14.25" customHeight="1">
      <c r="A16" s="10" t="s">
        <v>50</v>
      </c>
      <c r="B16" s="13" t="s">
        <v>117</v>
      </c>
      <c r="C16" s="12" t="s">
        <v>70</v>
      </c>
    </row>
    <row r="17" spans="1:3" ht="14.25" customHeight="1">
      <c r="A17" s="10" t="s">
        <v>51</v>
      </c>
      <c r="B17" s="11" t="s">
        <v>168</v>
      </c>
      <c r="C17" s="12" t="s">
        <v>52</v>
      </c>
    </row>
    <row r="18" spans="1:3" ht="14.25" customHeight="1">
      <c r="A18" s="10" t="s">
        <v>53</v>
      </c>
      <c r="B18" s="13" t="s">
        <v>118</v>
      </c>
      <c r="C18" s="12" t="s">
        <v>54</v>
      </c>
    </row>
    <row r="19" spans="1:3" ht="14.25" customHeight="1">
      <c r="A19" s="12" t="s">
        <v>55</v>
      </c>
      <c r="B19" s="14">
        <v>45810</v>
      </c>
      <c r="C19" s="12" t="s">
        <v>56</v>
      </c>
    </row>
    <row r="20" spans="1:3" ht="14.25" customHeight="1">
      <c r="A20" s="12" t="s">
        <v>57</v>
      </c>
      <c r="B20" s="11" t="s">
        <v>73</v>
      </c>
      <c r="C20" s="10" t="s">
        <v>71</v>
      </c>
    </row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</sheetData>
  <phoneticPr fontId="2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192EA-716C-487C-B566-ED775EC9FFB1}">
  <sheetPr codeName="Planilha3"/>
  <dimension ref="A1:Z995"/>
  <sheetViews>
    <sheetView zoomScaleNormal="100" workbookViewId="0">
      <selection activeCell="B27" sqref="B27"/>
    </sheetView>
  </sheetViews>
  <sheetFormatPr defaultColWidth="14.42578125" defaultRowHeight="15" customHeight="1"/>
  <cols>
    <col min="1" max="1" width="21.42578125" customWidth="1"/>
    <col min="2" max="2" width="22.85546875" customWidth="1"/>
    <col min="3" max="3" width="30.42578125" bestFit="1" customWidth="1"/>
    <col min="4" max="4" width="65.28515625" bestFit="1" customWidth="1"/>
    <col min="5" max="26" width="65.42578125" customWidth="1"/>
  </cols>
  <sheetData>
    <row r="1" spans="1:26" ht="18.75">
      <c r="A1" s="1" t="s">
        <v>0</v>
      </c>
      <c r="B1" s="1" t="s">
        <v>40</v>
      </c>
      <c r="C1" s="1" t="s">
        <v>41</v>
      </c>
      <c r="D1" s="1" t="s">
        <v>42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39</v>
      </c>
      <c r="B2" t="s">
        <v>47</v>
      </c>
      <c r="C2" t="s">
        <v>8</v>
      </c>
      <c r="D2" s="2" t="s">
        <v>44</v>
      </c>
    </row>
    <row r="3" spans="1:26" ht="14.25" customHeight="1">
      <c r="A3" t="s">
        <v>65</v>
      </c>
      <c r="B3" s="2" t="s">
        <v>60</v>
      </c>
      <c r="C3" t="s">
        <v>8</v>
      </c>
      <c r="D3" t="s">
        <v>66</v>
      </c>
    </row>
    <row r="4" spans="1:26" ht="14.25" customHeight="1">
      <c r="A4" s="2" t="s">
        <v>64</v>
      </c>
      <c r="B4" t="s">
        <v>61</v>
      </c>
      <c r="C4" t="s">
        <v>8</v>
      </c>
      <c r="D4" t="s">
        <v>66</v>
      </c>
    </row>
    <row r="5" spans="1:26" ht="14.25" customHeight="1">
      <c r="A5" t="s">
        <v>63</v>
      </c>
      <c r="B5" t="s">
        <v>62</v>
      </c>
      <c r="C5" t="s">
        <v>8</v>
      </c>
      <c r="D5" t="s">
        <v>66</v>
      </c>
    </row>
    <row r="6" spans="1:26" ht="14.25" customHeight="1">
      <c r="A6" t="s">
        <v>67</v>
      </c>
      <c r="B6" s="2" t="s">
        <v>69</v>
      </c>
      <c r="C6" t="s">
        <v>8</v>
      </c>
      <c r="D6" t="s">
        <v>68</v>
      </c>
    </row>
    <row r="7" spans="1:26" ht="14.25" customHeight="1">
      <c r="A7" s="2"/>
      <c r="D7" s="2"/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2D2F4-4498-4EB7-9D4C-2973D93FBF7D}">
  <dimension ref="A1:K75"/>
  <sheetViews>
    <sheetView tabSelected="1" workbookViewId="0">
      <selection activeCell="B74" sqref="B74"/>
    </sheetView>
  </sheetViews>
  <sheetFormatPr defaultRowHeight="15"/>
  <cols>
    <col min="1" max="1" width="29.85546875" style="8" bestFit="1" customWidth="1"/>
    <col min="2" max="2" width="18" style="8" bestFit="1" customWidth="1"/>
    <col min="3" max="3" width="10.5703125" customWidth="1"/>
    <col min="4" max="4" width="15" customWidth="1"/>
    <col min="5" max="5" width="5" style="8" customWidth="1"/>
    <col min="6" max="6" width="20.140625" bestFit="1" customWidth="1"/>
    <col min="7" max="7" width="22.28515625" bestFit="1" customWidth="1"/>
    <col min="8" max="8" width="153.140625" bestFit="1" customWidth="1"/>
    <col min="9" max="9" width="143.28515625" bestFit="1" customWidth="1"/>
    <col min="10" max="10" width="36" bestFit="1" customWidth="1"/>
  </cols>
  <sheetData>
    <row r="1" spans="1:11">
      <c r="A1" t="s">
        <v>74</v>
      </c>
      <c r="B1" t="s">
        <v>89</v>
      </c>
      <c r="C1" t="s">
        <v>90</v>
      </c>
      <c r="D1" t="s">
        <v>79</v>
      </c>
      <c r="E1" t="s">
        <v>80</v>
      </c>
      <c r="F1" t="s">
        <v>120</v>
      </c>
      <c r="G1" s="2" t="s">
        <v>121</v>
      </c>
      <c r="H1" s="2" t="s">
        <v>75</v>
      </c>
      <c r="I1" s="2" t="s">
        <v>77</v>
      </c>
      <c r="J1" s="2" t="s">
        <v>78</v>
      </c>
      <c r="K1" t="s">
        <v>147</v>
      </c>
    </row>
    <row r="2" spans="1:11" hidden="1">
      <c r="A2" t="str">
        <f t="shared" ref="A2:A33" si="0">D2 &amp; "_" &amp; B2 &amp; "_{Data}"</f>
        <v>4001_BALANCETE_{Data}</v>
      </c>
      <c r="B2" t="s">
        <v>115</v>
      </c>
      <c r="C2">
        <v>480</v>
      </c>
      <c r="D2">
        <v>4001</v>
      </c>
      <c r="E2" s="8" t="s">
        <v>76</v>
      </c>
      <c r="F2" s="8" t="s">
        <v>122</v>
      </c>
      <c r="G2" t="s">
        <v>92</v>
      </c>
      <c r="H2" t="s">
        <v>165</v>
      </c>
      <c r="I2" t="s">
        <v>166</v>
      </c>
      <c r="J2" s="2" t="str">
        <f t="shared" ref="J2:J33" si="1" xml:space="preserve"> D2 &amp; " " &amp; B2 &amp; " {YYYY-MM}" &amp; K2</f>
        <v>4001 BALANCETE {YYYY-MM}.xls</v>
      </c>
      <c r="K2" t="s">
        <v>148</v>
      </c>
    </row>
    <row r="3" spans="1:11" hidden="1">
      <c r="A3" t="str">
        <f t="shared" si="0"/>
        <v>4221_BALANCETE_{Data}</v>
      </c>
      <c r="B3" t="s">
        <v>115</v>
      </c>
      <c r="C3">
        <v>480</v>
      </c>
      <c r="D3">
        <v>4221</v>
      </c>
      <c r="E3" s="8" t="s">
        <v>76</v>
      </c>
      <c r="F3" s="8" t="s">
        <v>123</v>
      </c>
      <c r="G3" t="s">
        <v>93</v>
      </c>
      <c r="H3" t="s">
        <v>165</v>
      </c>
      <c r="I3" t="s">
        <v>166</v>
      </c>
      <c r="J3" s="2" t="str">
        <f t="shared" si="1"/>
        <v>4221 BALANCETE {YYYY-MM}.xls</v>
      </c>
      <c r="K3" t="s">
        <v>148</v>
      </c>
    </row>
    <row r="4" spans="1:11" hidden="1">
      <c r="A4" t="str">
        <f t="shared" si="0"/>
        <v>4155_BALANCETE_{Data}</v>
      </c>
      <c r="B4" t="s">
        <v>115</v>
      </c>
      <c r="C4">
        <v>480</v>
      </c>
      <c r="D4">
        <v>4155</v>
      </c>
      <c r="E4" s="8" t="s">
        <v>76</v>
      </c>
      <c r="F4" s="8" t="s">
        <v>124</v>
      </c>
      <c r="G4" t="s">
        <v>94</v>
      </c>
      <c r="H4" t="s">
        <v>165</v>
      </c>
      <c r="I4" t="s">
        <v>166</v>
      </c>
      <c r="J4" s="2" t="str">
        <f t="shared" si="1"/>
        <v>4155 BALANCETE {YYYY-MM}.xls</v>
      </c>
      <c r="K4" t="s">
        <v>148</v>
      </c>
    </row>
    <row r="5" spans="1:11" hidden="1">
      <c r="A5" t="str">
        <f t="shared" si="0"/>
        <v>4198_BALANCETE_{Data}</v>
      </c>
      <c r="B5" t="s">
        <v>115</v>
      </c>
      <c r="C5">
        <v>480</v>
      </c>
      <c r="D5">
        <v>4198</v>
      </c>
      <c r="E5" s="8" t="s">
        <v>76</v>
      </c>
      <c r="F5" s="8" t="s">
        <v>125</v>
      </c>
      <c r="G5" t="s">
        <v>95</v>
      </c>
      <c r="H5" t="s">
        <v>165</v>
      </c>
      <c r="I5" t="s">
        <v>166</v>
      </c>
      <c r="J5" s="2" t="str">
        <f t="shared" si="1"/>
        <v>4198 BALANCETE {YYYY-MM}.xls</v>
      </c>
      <c r="K5" t="s">
        <v>148</v>
      </c>
    </row>
    <row r="6" spans="1:11" hidden="1">
      <c r="A6" t="str">
        <f t="shared" si="0"/>
        <v>3233_BALANCETE_{Data}</v>
      </c>
      <c r="B6" t="s">
        <v>115</v>
      </c>
      <c r="C6">
        <v>480</v>
      </c>
      <c r="D6">
        <v>3233</v>
      </c>
      <c r="E6" s="8" t="s">
        <v>76</v>
      </c>
      <c r="F6" s="8" t="s">
        <v>126</v>
      </c>
      <c r="G6" t="s">
        <v>96</v>
      </c>
      <c r="H6" t="s">
        <v>165</v>
      </c>
      <c r="I6" t="s">
        <v>166</v>
      </c>
      <c r="J6" s="2" t="str">
        <f t="shared" si="1"/>
        <v>3233 BALANCETE {YYYY-MM}.xls</v>
      </c>
      <c r="K6" t="s">
        <v>148</v>
      </c>
    </row>
    <row r="7" spans="1:11" hidden="1">
      <c r="A7" t="str">
        <f t="shared" si="0"/>
        <v>4278_BALANCETE_{Data}</v>
      </c>
      <c r="B7" t="s">
        <v>115</v>
      </c>
      <c r="C7">
        <v>480</v>
      </c>
      <c r="D7">
        <v>4278</v>
      </c>
      <c r="E7" s="8" t="s">
        <v>76</v>
      </c>
      <c r="F7" s="8" t="s">
        <v>127</v>
      </c>
      <c r="G7" t="s">
        <v>97</v>
      </c>
      <c r="H7" t="s">
        <v>165</v>
      </c>
      <c r="I7" t="s">
        <v>166</v>
      </c>
      <c r="J7" s="2" t="str">
        <f t="shared" si="1"/>
        <v>4278 BALANCETE {YYYY-MM}.xls</v>
      </c>
      <c r="K7" t="s">
        <v>148</v>
      </c>
    </row>
    <row r="8" spans="1:11" hidden="1">
      <c r="A8" t="str">
        <f t="shared" si="0"/>
        <v>4332_BALANCETE_{Data}</v>
      </c>
      <c r="B8" t="s">
        <v>115</v>
      </c>
      <c r="C8">
        <v>480</v>
      </c>
      <c r="D8">
        <v>4332</v>
      </c>
      <c r="E8" s="8" t="s">
        <v>76</v>
      </c>
      <c r="F8" s="8" t="s">
        <v>128</v>
      </c>
      <c r="G8" t="s">
        <v>98</v>
      </c>
      <c r="H8" t="s">
        <v>165</v>
      </c>
      <c r="I8" t="s">
        <v>166</v>
      </c>
      <c r="J8" s="2" t="str">
        <f t="shared" si="1"/>
        <v>4332 BALANCETE {YYYY-MM}.xls</v>
      </c>
      <c r="K8" t="s">
        <v>148</v>
      </c>
    </row>
    <row r="9" spans="1:11" hidden="1">
      <c r="A9" t="str">
        <f t="shared" si="0"/>
        <v>3320_BALANCETE_{Data}</v>
      </c>
      <c r="B9" t="s">
        <v>115</v>
      </c>
      <c r="C9">
        <v>480</v>
      </c>
      <c r="D9">
        <v>3320</v>
      </c>
      <c r="E9" s="8" t="s">
        <v>76</v>
      </c>
      <c r="F9" s="8" t="s">
        <v>129</v>
      </c>
      <c r="G9" t="s">
        <v>99</v>
      </c>
      <c r="H9" t="s">
        <v>165</v>
      </c>
      <c r="I9" t="s">
        <v>166</v>
      </c>
      <c r="J9" s="2" t="str">
        <f t="shared" si="1"/>
        <v>3320 BALANCETE {YYYY-MM}.xls</v>
      </c>
      <c r="K9" t="s">
        <v>148</v>
      </c>
    </row>
    <row r="10" spans="1:11" hidden="1">
      <c r="A10" t="str">
        <f t="shared" si="0"/>
        <v>4364_BALANCETE_{Data}</v>
      </c>
      <c r="B10" t="s">
        <v>115</v>
      </c>
      <c r="C10">
        <v>480</v>
      </c>
      <c r="D10">
        <v>4364</v>
      </c>
      <c r="E10" s="8" t="s">
        <v>76</v>
      </c>
      <c r="F10" s="8" t="s">
        <v>130</v>
      </c>
      <c r="G10" t="s">
        <v>100</v>
      </c>
      <c r="H10" t="s">
        <v>165</v>
      </c>
      <c r="I10" t="s">
        <v>166</v>
      </c>
      <c r="J10" s="2" t="str">
        <f t="shared" si="1"/>
        <v>4364 BALANCETE {YYYY-MM}.xls</v>
      </c>
      <c r="K10" t="s">
        <v>148</v>
      </c>
    </row>
    <row r="11" spans="1:11" hidden="1">
      <c r="A11" t="str">
        <f t="shared" si="0"/>
        <v>3332_BALANCETE_{Data}</v>
      </c>
      <c r="B11" t="s">
        <v>115</v>
      </c>
      <c r="C11">
        <v>480</v>
      </c>
      <c r="D11">
        <v>3332</v>
      </c>
      <c r="E11" s="8" t="s">
        <v>76</v>
      </c>
      <c r="F11" s="8" t="s">
        <v>131</v>
      </c>
      <c r="G11" t="s">
        <v>101</v>
      </c>
      <c r="H11" t="s">
        <v>165</v>
      </c>
      <c r="I11" t="s">
        <v>166</v>
      </c>
      <c r="J11" s="2" t="str">
        <f t="shared" si="1"/>
        <v>3332 BALANCETE {YYYY-MM}.xls</v>
      </c>
      <c r="K11" t="s">
        <v>148</v>
      </c>
    </row>
    <row r="12" spans="1:11" hidden="1">
      <c r="A12" t="str">
        <f t="shared" si="0"/>
        <v>3333_BALANCETE_{Data}</v>
      </c>
      <c r="B12" t="s">
        <v>115</v>
      </c>
      <c r="C12">
        <v>480</v>
      </c>
      <c r="D12">
        <v>3333</v>
      </c>
      <c r="E12" s="8" t="s">
        <v>76</v>
      </c>
      <c r="F12" s="8" t="s">
        <v>132</v>
      </c>
      <c r="G12" t="s">
        <v>102</v>
      </c>
      <c r="H12" t="s">
        <v>165</v>
      </c>
      <c r="I12" t="s">
        <v>166</v>
      </c>
      <c r="J12" s="2" t="str">
        <f t="shared" si="1"/>
        <v>3333 BALANCETE {YYYY-MM}.xls</v>
      </c>
      <c r="K12" t="s">
        <v>148</v>
      </c>
    </row>
    <row r="13" spans="1:11" hidden="1">
      <c r="A13" t="str">
        <f t="shared" si="0"/>
        <v>3348_BALANCETE_{Data}</v>
      </c>
      <c r="B13" t="s">
        <v>115</v>
      </c>
      <c r="C13">
        <v>480</v>
      </c>
      <c r="D13">
        <v>3348</v>
      </c>
      <c r="E13" s="8" t="s">
        <v>76</v>
      </c>
      <c r="F13" s="8" t="s">
        <v>133</v>
      </c>
      <c r="G13" t="s">
        <v>103</v>
      </c>
      <c r="H13" t="s">
        <v>165</v>
      </c>
      <c r="I13" t="s">
        <v>166</v>
      </c>
      <c r="J13" s="2" t="str">
        <f t="shared" si="1"/>
        <v>3348 BALANCETE {YYYY-MM}.xls</v>
      </c>
      <c r="K13" t="s">
        <v>148</v>
      </c>
    </row>
    <row r="14" spans="1:11" hidden="1">
      <c r="A14" t="str">
        <f t="shared" si="0"/>
        <v>3349_BALANCETE_{Data}</v>
      </c>
      <c r="B14" t="s">
        <v>115</v>
      </c>
      <c r="C14">
        <v>480</v>
      </c>
      <c r="D14">
        <v>3349</v>
      </c>
      <c r="E14" s="8" t="s">
        <v>76</v>
      </c>
      <c r="F14" s="8" t="s">
        <v>134</v>
      </c>
      <c r="G14" t="s">
        <v>104</v>
      </c>
      <c r="H14" t="s">
        <v>165</v>
      </c>
      <c r="I14" t="s">
        <v>166</v>
      </c>
      <c r="J14" s="2" t="str">
        <f t="shared" si="1"/>
        <v>3349 BALANCETE {YYYY-MM}.xls</v>
      </c>
      <c r="K14" t="s">
        <v>148</v>
      </c>
    </row>
    <row r="15" spans="1:11" hidden="1">
      <c r="A15" t="str">
        <f t="shared" si="0"/>
        <v>3351_BALANCETE_{Data}</v>
      </c>
      <c r="B15" t="s">
        <v>115</v>
      </c>
      <c r="C15">
        <v>480</v>
      </c>
      <c r="D15">
        <v>3351</v>
      </c>
      <c r="E15" s="8" t="s">
        <v>76</v>
      </c>
      <c r="F15" s="8" t="s">
        <v>135</v>
      </c>
      <c r="G15" t="s">
        <v>105</v>
      </c>
      <c r="H15" t="s">
        <v>165</v>
      </c>
      <c r="I15" t="s">
        <v>166</v>
      </c>
      <c r="J15" s="2" t="str">
        <f t="shared" si="1"/>
        <v>3351 BALANCETE {YYYY-MM}.xls</v>
      </c>
      <c r="K15" t="s">
        <v>148</v>
      </c>
    </row>
    <row r="16" spans="1:11" hidden="1">
      <c r="A16" t="str">
        <f t="shared" si="0"/>
        <v>3054_BALANCETE_{Data}</v>
      </c>
      <c r="B16" t="s">
        <v>115</v>
      </c>
      <c r="C16">
        <v>480</v>
      </c>
      <c r="D16">
        <v>3054</v>
      </c>
      <c r="E16" s="8" t="s">
        <v>76</v>
      </c>
      <c r="F16" s="8" t="s">
        <v>136</v>
      </c>
      <c r="G16" t="s">
        <v>106</v>
      </c>
      <c r="H16" t="s">
        <v>165</v>
      </c>
      <c r="I16" t="s">
        <v>166</v>
      </c>
      <c r="J16" s="2" t="str">
        <f t="shared" si="1"/>
        <v>3054 BALANCETE {YYYY-MM}.xls</v>
      </c>
      <c r="K16" t="s">
        <v>148</v>
      </c>
    </row>
    <row r="17" spans="1:11" hidden="1">
      <c r="A17" t="str">
        <f t="shared" si="0"/>
        <v>3042_BALANCETE_{Data}</v>
      </c>
      <c r="B17" t="s">
        <v>115</v>
      </c>
      <c r="C17">
        <v>480</v>
      </c>
      <c r="D17">
        <v>3042</v>
      </c>
      <c r="E17" s="8" t="s">
        <v>76</v>
      </c>
      <c r="F17" s="8" t="s">
        <v>137</v>
      </c>
      <c r="G17" t="s">
        <v>107</v>
      </c>
      <c r="H17" t="s">
        <v>165</v>
      </c>
      <c r="I17" t="s">
        <v>166</v>
      </c>
      <c r="J17" s="2" t="str">
        <f t="shared" si="1"/>
        <v>3042 BALANCETE {YYYY-MM}.xls</v>
      </c>
      <c r="K17" t="s">
        <v>148</v>
      </c>
    </row>
    <row r="18" spans="1:11" hidden="1">
      <c r="A18" t="str">
        <f t="shared" si="0"/>
        <v>3263_BALANCETE_{Data}</v>
      </c>
      <c r="B18" t="s">
        <v>115</v>
      </c>
      <c r="C18">
        <v>480</v>
      </c>
      <c r="D18">
        <v>3263</v>
      </c>
      <c r="E18" s="8" t="s">
        <v>76</v>
      </c>
      <c r="F18" s="8" t="s">
        <v>138</v>
      </c>
      <c r="G18" t="s">
        <v>108</v>
      </c>
      <c r="H18" t="s">
        <v>165</v>
      </c>
      <c r="I18" t="s">
        <v>166</v>
      </c>
      <c r="J18" s="2" t="str">
        <f t="shared" si="1"/>
        <v>3263 BALANCETE {YYYY-MM}.xls</v>
      </c>
      <c r="K18" t="s">
        <v>148</v>
      </c>
    </row>
    <row r="19" spans="1:11" hidden="1">
      <c r="A19" t="str">
        <f t="shared" si="0"/>
        <v>1004_BALANCETE_{Data}</v>
      </c>
      <c r="B19" t="s">
        <v>115</v>
      </c>
      <c r="C19">
        <v>480</v>
      </c>
      <c r="D19">
        <v>1004</v>
      </c>
      <c r="E19" s="8" t="s">
        <v>76</v>
      </c>
      <c r="F19" s="8" t="s">
        <v>139</v>
      </c>
      <c r="G19" t="s">
        <v>91</v>
      </c>
      <c r="H19" t="s">
        <v>165</v>
      </c>
      <c r="I19" t="s">
        <v>166</v>
      </c>
      <c r="J19" s="2" t="str">
        <f t="shared" si="1"/>
        <v>1004 BALANCETE {YYYY-MM}.xls</v>
      </c>
      <c r="K19" t="s">
        <v>148</v>
      </c>
    </row>
    <row r="20" spans="1:11" hidden="1">
      <c r="A20" t="str">
        <f t="shared" si="0"/>
        <v>3043_BALANCETE_{Data}</v>
      </c>
      <c r="B20" t="s">
        <v>115</v>
      </c>
      <c r="C20">
        <v>480</v>
      </c>
      <c r="D20">
        <v>3043</v>
      </c>
      <c r="E20" s="8" t="s">
        <v>76</v>
      </c>
      <c r="F20" s="8" t="s">
        <v>140</v>
      </c>
      <c r="G20" t="s">
        <v>109</v>
      </c>
      <c r="H20" t="s">
        <v>165</v>
      </c>
      <c r="I20" t="s">
        <v>166</v>
      </c>
      <c r="J20" s="2" t="str">
        <f t="shared" si="1"/>
        <v>3043 BALANCETE {YYYY-MM}.xls</v>
      </c>
      <c r="K20" t="s">
        <v>148</v>
      </c>
    </row>
    <row r="21" spans="1:11" hidden="1">
      <c r="A21" t="str">
        <f t="shared" si="0"/>
        <v>3261_BALANCETE_{Data}</v>
      </c>
      <c r="B21" t="s">
        <v>115</v>
      </c>
      <c r="C21">
        <v>480</v>
      </c>
      <c r="D21">
        <v>3261</v>
      </c>
      <c r="E21" s="8" t="s">
        <v>76</v>
      </c>
      <c r="F21" s="8" t="s">
        <v>141</v>
      </c>
      <c r="G21" t="s">
        <v>110</v>
      </c>
      <c r="H21" t="s">
        <v>165</v>
      </c>
      <c r="I21" t="s">
        <v>166</v>
      </c>
      <c r="J21" s="2" t="str">
        <f t="shared" si="1"/>
        <v>3261 BALANCETE {YYYY-MM}.xls</v>
      </c>
      <c r="K21" t="s">
        <v>148</v>
      </c>
    </row>
    <row r="22" spans="1:11" hidden="1">
      <c r="A22" t="str">
        <f t="shared" si="0"/>
        <v>4002_BALANCETE_{Data}</v>
      </c>
      <c r="B22" t="s">
        <v>115</v>
      </c>
      <c r="C22">
        <v>480</v>
      </c>
      <c r="D22">
        <v>4002</v>
      </c>
      <c r="E22" s="8" t="s">
        <v>76</v>
      </c>
      <c r="F22" s="8" t="s">
        <v>142</v>
      </c>
      <c r="G22" t="s">
        <v>111</v>
      </c>
      <c r="H22" t="s">
        <v>165</v>
      </c>
      <c r="I22" t="s">
        <v>166</v>
      </c>
      <c r="J22" s="2" t="str">
        <f t="shared" si="1"/>
        <v>4002 BALANCETE {YYYY-MM}.xls</v>
      </c>
      <c r="K22" t="s">
        <v>148</v>
      </c>
    </row>
    <row r="23" spans="1:11" hidden="1">
      <c r="A23" t="str">
        <f t="shared" si="0"/>
        <v>4041_BALANCETE_{Data}</v>
      </c>
      <c r="B23" t="s">
        <v>115</v>
      </c>
      <c r="C23">
        <v>480</v>
      </c>
      <c r="D23">
        <v>4041</v>
      </c>
      <c r="E23" s="8" t="s">
        <v>76</v>
      </c>
      <c r="F23" s="8" t="s">
        <v>143</v>
      </c>
      <c r="G23" t="s">
        <v>112</v>
      </c>
      <c r="H23" t="s">
        <v>165</v>
      </c>
      <c r="I23" t="s">
        <v>166</v>
      </c>
      <c r="J23" s="2" t="str">
        <f t="shared" si="1"/>
        <v>4041 BALANCETE {YYYY-MM}.xls</v>
      </c>
      <c r="K23" t="s">
        <v>148</v>
      </c>
    </row>
    <row r="24" spans="1:11" hidden="1">
      <c r="A24" t="str">
        <f t="shared" si="0"/>
        <v>3060_BALANCETE_{Data}</v>
      </c>
      <c r="B24" t="s">
        <v>115</v>
      </c>
      <c r="C24">
        <v>480</v>
      </c>
      <c r="D24">
        <v>3060</v>
      </c>
      <c r="E24" s="8" t="s">
        <v>76</v>
      </c>
      <c r="F24" s="8" t="s">
        <v>144</v>
      </c>
      <c r="G24" t="s">
        <v>113</v>
      </c>
      <c r="H24" t="s">
        <v>165</v>
      </c>
      <c r="I24" t="s">
        <v>166</v>
      </c>
      <c r="J24" s="2" t="str">
        <f t="shared" si="1"/>
        <v>3060 BALANCETE {YYYY-MM}.xls</v>
      </c>
      <c r="K24" t="s">
        <v>148</v>
      </c>
    </row>
    <row r="25" spans="1:11" hidden="1">
      <c r="A25" t="str">
        <f t="shared" ref="A25:A32" si="2">D25 &amp; "_" &amp; B25 &amp; "_{Data}"</f>
        <v>5014_BALANCETE_{Data}</v>
      </c>
      <c r="B25" t="s">
        <v>115</v>
      </c>
      <c r="C25">
        <v>480</v>
      </c>
      <c r="D25">
        <v>5014</v>
      </c>
      <c r="E25" s="8" t="s">
        <v>76</v>
      </c>
      <c r="F25" s="8" t="s">
        <v>169</v>
      </c>
      <c r="G25" t="s">
        <v>170</v>
      </c>
      <c r="H25" t="s">
        <v>165</v>
      </c>
      <c r="I25" t="s">
        <v>166</v>
      </c>
      <c r="J25" s="2" t="str">
        <f t="shared" si="1"/>
        <v>5014 BALANCETE {YYYY-MM}.xls</v>
      </c>
      <c r="K25" t="s">
        <v>148</v>
      </c>
    </row>
    <row r="26" spans="1:11" hidden="1">
      <c r="A26" t="str">
        <f t="shared" si="2"/>
        <v>3055_BALANCETE_{Data}</v>
      </c>
      <c r="B26" t="s">
        <v>115</v>
      </c>
      <c r="C26">
        <v>480</v>
      </c>
      <c r="D26">
        <v>3055</v>
      </c>
      <c r="E26" s="8" t="s">
        <v>76</v>
      </c>
      <c r="F26" t="s">
        <v>171</v>
      </c>
      <c r="G26" t="s">
        <v>172</v>
      </c>
      <c r="H26" t="s">
        <v>165</v>
      </c>
      <c r="I26" t="s">
        <v>166</v>
      </c>
      <c r="J26" s="2" t="str">
        <f t="shared" si="1"/>
        <v>3055 BALANCETE {YYYY-MM}.xls</v>
      </c>
      <c r="K26" t="s">
        <v>148</v>
      </c>
    </row>
    <row r="27" spans="1:11">
      <c r="A27" t="str">
        <f t="shared" si="2"/>
        <v>3056_BALANCETE_{Data}</v>
      </c>
      <c r="B27" t="s">
        <v>115</v>
      </c>
      <c r="C27">
        <v>480</v>
      </c>
      <c r="D27">
        <v>3056</v>
      </c>
      <c r="E27" s="8" t="s">
        <v>76</v>
      </c>
      <c r="F27" t="s">
        <v>173</v>
      </c>
      <c r="G27" t="s">
        <v>174</v>
      </c>
      <c r="H27" t="s">
        <v>165</v>
      </c>
      <c r="I27" t="s">
        <v>166</v>
      </c>
      <c r="J27" s="2" t="str">
        <f t="shared" si="1"/>
        <v>3056 BALANCETE {YYYY-MM}.xls</v>
      </c>
      <c r="K27" t="s">
        <v>148</v>
      </c>
    </row>
    <row r="28" spans="1:11" hidden="1">
      <c r="A28" t="str">
        <f t="shared" si="2"/>
        <v>3058_BALANCETE_{Data}</v>
      </c>
      <c r="B28" t="s">
        <v>115</v>
      </c>
      <c r="C28">
        <v>480</v>
      </c>
      <c r="D28">
        <v>3058</v>
      </c>
      <c r="E28" s="8" t="s">
        <v>76</v>
      </c>
      <c r="F28" t="s">
        <v>175</v>
      </c>
      <c r="G28" t="s">
        <v>176</v>
      </c>
      <c r="H28" t="s">
        <v>165</v>
      </c>
      <c r="I28" t="s">
        <v>166</v>
      </c>
      <c r="J28" s="2" t="str">
        <f t="shared" si="1"/>
        <v>3058 BALANCETE {YYYY-MM}.xls</v>
      </c>
      <c r="K28" t="s">
        <v>148</v>
      </c>
    </row>
    <row r="29" spans="1:11" hidden="1">
      <c r="A29" t="str">
        <f t="shared" si="2"/>
        <v>3300_BALANCETE_{Data}</v>
      </c>
      <c r="B29" t="s">
        <v>115</v>
      </c>
      <c r="C29">
        <v>480</v>
      </c>
      <c r="D29">
        <v>3300</v>
      </c>
      <c r="E29" s="8" t="s">
        <v>76</v>
      </c>
      <c r="F29" t="s">
        <v>177</v>
      </c>
      <c r="G29" t="s">
        <v>178</v>
      </c>
      <c r="H29" t="s">
        <v>165</v>
      </c>
      <c r="I29" t="s">
        <v>166</v>
      </c>
      <c r="J29" s="2" t="str">
        <f t="shared" si="1"/>
        <v>3300 BALANCETE {YYYY-MM}.xls</v>
      </c>
      <c r="K29" t="s">
        <v>148</v>
      </c>
    </row>
    <row r="30" spans="1:11" hidden="1">
      <c r="A30" t="str">
        <f t="shared" si="2"/>
        <v>3336_BALANCETE_{Data}</v>
      </c>
      <c r="B30" t="s">
        <v>115</v>
      </c>
      <c r="C30">
        <v>480</v>
      </c>
      <c r="D30">
        <v>3336</v>
      </c>
      <c r="E30" s="8" t="s">
        <v>76</v>
      </c>
      <c r="F30" t="s">
        <v>179</v>
      </c>
      <c r="G30" t="s">
        <v>180</v>
      </c>
      <c r="H30" t="s">
        <v>165</v>
      </c>
      <c r="I30" t="s">
        <v>166</v>
      </c>
      <c r="J30" s="2" t="str">
        <f t="shared" si="1"/>
        <v>3336 BALANCETE {YYYY-MM}.xls</v>
      </c>
      <c r="K30" t="s">
        <v>148</v>
      </c>
    </row>
    <row r="31" spans="1:11" hidden="1">
      <c r="A31" t="str">
        <f t="shared" si="2"/>
        <v>3343_BALANCETE_{Data}</v>
      </c>
      <c r="B31" t="s">
        <v>115</v>
      </c>
      <c r="C31">
        <v>480</v>
      </c>
      <c r="D31">
        <v>3343</v>
      </c>
      <c r="E31" s="8" t="s">
        <v>76</v>
      </c>
      <c r="F31" t="s">
        <v>130</v>
      </c>
      <c r="G31" t="s">
        <v>100</v>
      </c>
      <c r="H31" t="s">
        <v>165</v>
      </c>
      <c r="I31" t="s">
        <v>166</v>
      </c>
      <c r="J31" s="2" t="str">
        <f t="shared" si="1"/>
        <v>3343 BALANCETE {YYYY-MM}.xls</v>
      </c>
      <c r="K31" t="s">
        <v>148</v>
      </c>
    </row>
    <row r="32" spans="1:11" hidden="1">
      <c r="A32" t="str">
        <f t="shared" si="2"/>
        <v>3350_BALANCETE_{Data}</v>
      </c>
      <c r="B32" t="s">
        <v>115</v>
      </c>
      <c r="C32">
        <v>480</v>
      </c>
      <c r="D32">
        <v>3350</v>
      </c>
      <c r="E32" s="8" t="s">
        <v>76</v>
      </c>
      <c r="F32" t="s">
        <v>181</v>
      </c>
      <c r="G32" t="s">
        <v>182</v>
      </c>
      <c r="H32" t="s">
        <v>165</v>
      </c>
      <c r="I32" t="s">
        <v>166</v>
      </c>
      <c r="J32" s="2" t="str">
        <f t="shared" si="1"/>
        <v>3350 BALANCETE {YYYY-MM}.xls</v>
      </c>
      <c r="K32" t="s">
        <v>148</v>
      </c>
    </row>
    <row r="33" spans="1:11" hidden="1">
      <c r="A33" t="str">
        <f t="shared" si="0"/>
        <v>3059_BALANCETE_{Data}</v>
      </c>
      <c r="B33" t="s">
        <v>115</v>
      </c>
      <c r="C33">
        <v>480</v>
      </c>
      <c r="D33">
        <v>3059</v>
      </c>
      <c r="E33" s="8" t="s">
        <v>76</v>
      </c>
      <c r="F33" t="s">
        <v>145</v>
      </c>
      <c r="G33" t="s">
        <v>114</v>
      </c>
      <c r="H33" t="s">
        <v>165</v>
      </c>
      <c r="I33" t="s">
        <v>166</v>
      </c>
      <c r="J33" s="2" t="str">
        <f t="shared" si="1"/>
        <v>3059 BALANCETE {YYYY-MM}.xls</v>
      </c>
      <c r="K33" t="s">
        <v>148</v>
      </c>
    </row>
    <row r="34" spans="1:11" hidden="1">
      <c r="A34" t="str">
        <f t="shared" ref="A34:A56" si="3">D34 &amp; "_" &amp; B34 &amp; "_{Data}"</f>
        <v>4001_BALANCETE ANUAL_{Data}</v>
      </c>
      <c r="B34" t="s">
        <v>163</v>
      </c>
      <c r="C34">
        <v>480</v>
      </c>
      <c r="D34">
        <v>4001</v>
      </c>
      <c r="E34" s="8" t="s">
        <v>76</v>
      </c>
      <c r="F34" s="8" t="s">
        <v>122</v>
      </c>
      <c r="G34" t="s">
        <v>92</v>
      </c>
      <c r="H34" t="s">
        <v>165</v>
      </c>
      <c r="I34" t="s">
        <v>166</v>
      </c>
      <c r="J34" s="2" t="str">
        <f t="shared" ref="J34:J71" si="4" xml:space="preserve"> D34 &amp; " " &amp; B34 &amp; " {YYYY-MM}" &amp; K34</f>
        <v>4001 BALANCETE ANUAL {YYYY-MM}.xls</v>
      </c>
      <c r="K34" t="s">
        <v>148</v>
      </c>
    </row>
    <row r="35" spans="1:11" hidden="1">
      <c r="A35" t="str">
        <f t="shared" si="3"/>
        <v>4221_BALANCETE ANUAL_{Data}</v>
      </c>
      <c r="B35" t="s">
        <v>163</v>
      </c>
      <c r="C35">
        <v>480</v>
      </c>
      <c r="D35">
        <v>4221</v>
      </c>
      <c r="E35" s="8" t="s">
        <v>76</v>
      </c>
      <c r="F35" s="8" t="s">
        <v>123</v>
      </c>
      <c r="G35" t="s">
        <v>93</v>
      </c>
      <c r="H35" t="s">
        <v>165</v>
      </c>
      <c r="I35" t="s">
        <v>166</v>
      </c>
      <c r="J35" s="2" t="str">
        <f t="shared" si="4"/>
        <v>4221 BALANCETE ANUAL {YYYY-MM}.xls</v>
      </c>
      <c r="K35" t="s">
        <v>148</v>
      </c>
    </row>
    <row r="36" spans="1:11" hidden="1">
      <c r="A36" t="str">
        <f t="shared" si="3"/>
        <v>4155_BALANCETE ANUAL_{Data}</v>
      </c>
      <c r="B36" t="s">
        <v>163</v>
      </c>
      <c r="C36">
        <v>480</v>
      </c>
      <c r="D36">
        <v>4155</v>
      </c>
      <c r="E36" s="8" t="s">
        <v>76</v>
      </c>
      <c r="F36" s="8" t="s">
        <v>124</v>
      </c>
      <c r="G36" t="s">
        <v>94</v>
      </c>
      <c r="H36" t="s">
        <v>165</v>
      </c>
      <c r="I36" t="s">
        <v>166</v>
      </c>
      <c r="J36" s="2" t="str">
        <f t="shared" si="4"/>
        <v>4155 BALANCETE ANUAL {YYYY-MM}.xls</v>
      </c>
      <c r="K36" t="s">
        <v>148</v>
      </c>
    </row>
    <row r="37" spans="1:11" hidden="1">
      <c r="A37" t="str">
        <f t="shared" si="3"/>
        <v>4198_BALANCETE ANUAL_{Data}</v>
      </c>
      <c r="B37" t="s">
        <v>163</v>
      </c>
      <c r="C37">
        <v>480</v>
      </c>
      <c r="D37">
        <v>4198</v>
      </c>
      <c r="E37" s="8" t="s">
        <v>76</v>
      </c>
      <c r="F37" s="8" t="s">
        <v>125</v>
      </c>
      <c r="G37" t="s">
        <v>95</v>
      </c>
      <c r="H37" t="s">
        <v>165</v>
      </c>
      <c r="I37" t="s">
        <v>166</v>
      </c>
      <c r="J37" s="2" t="str">
        <f t="shared" si="4"/>
        <v>4198 BALANCETE ANUAL {YYYY-MM}.xls</v>
      </c>
      <c r="K37" t="s">
        <v>148</v>
      </c>
    </row>
    <row r="38" spans="1:11" hidden="1">
      <c r="A38" t="str">
        <f t="shared" si="3"/>
        <v>3233_BALANCETE ANUAL_{Data}</v>
      </c>
      <c r="B38" t="s">
        <v>163</v>
      </c>
      <c r="C38">
        <v>480</v>
      </c>
      <c r="D38">
        <v>3233</v>
      </c>
      <c r="E38" s="8" t="s">
        <v>76</v>
      </c>
      <c r="F38" s="8" t="s">
        <v>126</v>
      </c>
      <c r="G38" t="s">
        <v>96</v>
      </c>
      <c r="H38" t="s">
        <v>165</v>
      </c>
      <c r="I38" t="s">
        <v>166</v>
      </c>
      <c r="J38" s="2" t="str">
        <f t="shared" si="4"/>
        <v>3233 BALANCETE ANUAL {YYYY-MM}.xls</v>
      </c>
      <c r="K38" t="s">
        <v>148</v>
      </c>
    </row>
    <row r="39" spans="1:11" hidden="1">
      <c r="A39" t="str">
        <f t="shared" si="3"/>
        <v>4278_BALANCETE ANUAL_{Data}</v>
      </c>
      <c r="B39" t="s">
        <v>163</v>
      </c>
      <c r="C39">
        <v>480</v>
      </c>
      <c r="D39">
        <v>4278</v>
      </c>
      <c r="E39" s="8" t="s">
        <v>76</v>
      </c>
      <c r="F39" s="8" t="s">
        <v>127</v>
      </c>
      <c r="G39" t="s">
        <v>97</v>
      </c>
      <c r="H39" t="s">
        <v>165</v>
      </c>
      <c r="I39" t="s">
        <v>166</v>
      </c>
      <c r="J39" s="2" t="str">
        <f t="shared" si="4"/>
        <v>4278 BALANCETE ANUAL {YYYY-MM}.xls</v>
      </c>
      <c r="K39" t="s">
        <v>148</v>
      </c>
    </row>
    <row r="40" spans="1:11" hidden="1">
      <c r="A40" t="str">
        <f t="shared" si="3"/>
        <v>4332_BALANCETE ANUAL_{Data}</v>
      </c>
      <c r="B40" t="s">
        <v>163</v>
      </c>
      <c r="C40">
        <v>480</v>
      </c>
      <c r="D40">
        <v>4332</v>
      </c>
      <c r="E40" s="8" t="s">
        <v>76</v>
      </c>
      <c r="F40" s="8" t="s">
        <v>128</v>
      </c>
      <c r="G40" t="s">
        <v>98</v>
      </c>
      <c r="H40" t="s">
        <v>165</v>
      </c>
      <c r="I40" t="s">
        <v>166</v>
      </c>
      <c r="J40" s="2" t="str">
        <f t="shared" si="4"/>
        <v>4332 BALANCETE ANUAL {YYYY-MM}.xls</v>
      </c>
      <c r="K40" t="s">
        <v>148</v>
      </c>
    </row>
    <row r="41" spans="1:11" hidden="1">
      <c r="A41" t="str">
        <f t="shared" si="3"/>
        <v>3320_BALANCETE ANUAL_{Data}</v>
      </c>
      <c r="B41" t="s">
        <v>163</v>
      </c>
      <c r="C41">
        <v>480</v>
      </c>
      <c r="D41">
        <v>3320</v>
      </c>
      <c r="E41" s="8" t="s">
        <v>76</v>
      </c>
      <c r="F41" s="8" t="s">
        <v>129</v>
      </c>
      <c r="G41" t="s">
        <v>99</v>
      </c>
      <c r="H41" t="s">
        <v>165</v>
      </c>
      <c r="I41" t="s">
        <v>166</v>
      </c>
      <c r="J41" s="2" t="str">
        <f t="shared" si="4"/>
        <v>3320 BALANCETE ANUAL {YYYY-MM}.xls</v>
      </c>
      <c r="K41" t="s">
        <v>148</v>
      </c>
    </row>
    <row r="42" spans="1:11" hidden="1">
      <c r="A42" t="str">
        <f t="shared" si="3"/>
        <v>4364_BALANCETE ANUAL_{Data}</v>
      </c>
      <c r="B42" t="s">
        <v>163</v>
      </c>
      <c r="C42">
        <v>480</v>
      </c>
      <c r="D42">
        <v>4364</v>
      </c>
      <c r="E42" s="8" t="s">
        <v>76</v>
      </c>
      <c r="F42" s="8" t="s">
        <v>130</v>
      </c>
      <c r="G42" t="s">
        <v>100</v>
      </c>
      <c r="H42" t="s">
        <v>165</v>
      </c>
      <c r="I42" t="s">
        <v>166</v>
      </c>
      <c r="J42" s="2" t="str">
        <f t="shared" si="4"/>
        <v>4364 BALANCETE ANUAL {YYYY-MM}.xls</v>
      </c>
      <c r="K42" t="s">
        <v>148</v>
      </c>
    </row>
    <row r="43" spans="1:11" hidden="1">
      <c r="A43" t="str">
        <f t="shared" si="3"/>
        <v>3332_BALANCETE ANUAL_{Data}</v>
      </c>
      <c r="B43" t="s">
        <v>163</v>
      </c>
      <c r="C43">
        <v>480</v>
      </c>
      <c r="D43">
        <v>3332</v>
      </c>
      <c r="E43" s="8" t="s">
        <v>76</v>
      </c>
      <c r="F43" s="8" t="s">
        <v>131</v>
      </c>
      <c r="G43" t="s">
        <v>101</v>
      </c>
      <c r="H43" t="s">
        <v>165</v>
      </c>
      <c r="I43" t="s">
        <v>166</v>
      </c>
      <c r="J43" s="2" t="str">
        <f t="shared" si="4"/>
        <v>3332 BALANCETE ANUAL {YYYY-MM}.xls</v>
      </c>
      <c r="K43" t="s">
        <v>148</v>
      </c>
    </row>
    <row r="44" spans="1:11" hidden="1">
      <c r="A44" t="str">
        <f t="shared" si="3"/>
        <v>3333_BALANCETE ANUAL_{Data}</v>
      </c>
      <c r="B44" t="s">
        <v>163</v>
      </c>
      <c r="C44">
        <v>480</v>
      </c>
      <c r="D44">
        <v>3333</v>
      </c>
      <c r="E44" s="8" t="s">
        <v>76</v>
      </c>
      <c r="F44" s="8" t="s">
        <v>132</v>
      </c>
      <c r="G44" t="s">
        <v>102</v>
      </c>
      <c r="H44" t="s">
        <v>165</v>
      </c>
      <c r="I44" t="s">
        <v>166</v>
      </c>
      <c r="J44" s="2" t="str">
        <f t="shared" si="4"/>
        <v>3333 BALANCETE ANUAL {YYYY-MM}.xls</v>
      </c>
      <c r="K44" t="s">
        <v>148</v>
      </c>
    </row>
    <row r="45" spans="1:11" hidden="1">
      <c r="A45" t="str">
        <f t="shared" si="3"/>
        <v>3348_BALANCETE ANUAL_{Data}</v>
      </c>
      <c r="B45" t="s">
        <v>163</v>
      </c>
      <c r="C45">
        <v>480</v>
      </c>
      <c r="D45">
        <v>3348</v>
      </c>
      <c r="E45" s="8" t="s">
        <v>76</v>
      </c>
      <c r="F45" s="8" t="s">
        <v>133</v>
      </c>
      <c r="G45" t="s">
        <v>103</v>
      </c>
      <c r="H45" t="s">
        <v>165</v>
      </c>
      <c r="I45" t="s">
        <v>166</v>
      </c>
      <c r="J45" s="2" t="str">
        <f t="shared" si="4"/>
        <v>3348 BALANCETE ANUAL {YYYY-MM}.xls</v>
      </c>
      <c r="K45" t="s">
        <v>148</v>
      </c>
    </row>
    <row r="46" spans="1:11" hidden="1">
      <c r="A46" t="str">
        <f t="shared" si="3"/>
        <v>3349_BALANCETE ANUAL_{Data}</v>
      </c>
      <c r="B46" t="s">
        <v>163</v>
      </c>
      <c r="C46">
        <v>480</v>
      </c>
      <c r="D46">
        <v>3349</v>
      </c>
      <c r="E46" s="8" t="s">
        <v>76</v>
      </c>
      <c r="F46" s="8" t="s">
        <v>134</v>
      </c>
      <c r="G46" t="s">
        <v>104</v>
      </c>
      <c r="H46" t="s">
        <v>165</v>
      </c>
      <c r="I46" t="s">
        <v>166</v>
      </c>
      <c r="J46" s="2" t="str">
        <f t="shared" si="4"/>
        <v>3349 BALANCETE ANUAL {YYYY-MM}.xls</v>
      </c>
      <c r="K46" t="s">
        <v>148</v>
      </c>
    </row>
    <row r="47" spans="1:11" hidden="1">
      <c r="A47" t="str">
        <f t="shared" si="3"/>
        <v>3351_BALANCETE ANUAL_{Data}</v>
      </c>
      <c r="B47" t="s">
        <v>163</v>
      </c>
      <c r="C47">
        <v>480</v>
      </c>
      <c r="D47">
        <v>3351</v>
      </c>
      <c r="E47" s="8" t="s">
        <v>76</v>
      </c>
      <c r="F47" s="8" t="s">
        <v>135</v>
      </c>
      <c r="G47" t="s">
        <v>105</v>
      </c>
      <c r="H47" t="s">
        <v>165</v>
      </c>
      <c r="I47" t="s">
        <v>166</v>
      </c>
      <c r="J47" s="2" t="str">
        <f t="shared" si="4"/>
        <v>3351 BALANCETE ANUAL {YYYY-MM}.xls</v>
      </c>
      <c r="K47" t="s">
        <v>148</v>
      </c>
    </row>
    <row r="48" spans="1:11" hidden="1">
      <c r="A48" t="str">
        <f t="shared" si="3"/>
        <v>3054_BALANCETE ANUAL_{Data}</v>
      </c>
      <c r="B48" t="s">
        <v>163</v>
      </c>
      <c r="C48">
        <v>480</v>
      </c>
      <c r="D48">
        <v>3054</v>
      </c>
      <c r="E48" s="8" t="s">
        <v>76</v>
      </c>
      <c r="F48" s="8" t="s">
        <v>136</v>
      </c>
      <c r="G48" t="s">
        <v>106</v>
      </c>
      <c r="H48" t="s">
        <v>165</v>
      </c>
      <c r="I48" t="s">
        <v>166</v>
      </c>
      <c r="J48" s="2" t="str">
        <f t="shared" si="4"/>
        <v>3054 BALANCETE ANUAL {YYYY-MM}.xls</v>
      </c>
      <c r="K48" t="s">
        <v>148</v>
      </c>
    </row>
    <row r="49" spans="1:11" hidden="1">
      <c r="A49" t="str">
        <f t="shared" si="3"/>
        <v>3042_BALANCETE ANUAL_{Data}</v>
      </c>
      <c r="B49" t="s">
        <v>163</v>
      </c>
      <c r="C49">
        <v>480</v>
      </c>
      <c r="D49">
        <v>3042</v>
      </c>
      <c r="E49" s="8" t="s">
        <v>76</v>
      </c>
      <c r="F49" s="8" t="s">
        <v>137</v>
      </c>
      <c r="G49" t="s">
        <v>107</v>
      </c>
      <c r="H49" t="s">
        <v>165</v>
      </c>
      <c r="I49" t="s">
        <v>166</v>
      </c>
      <c r="J49" s="2" t="str">
        <f t="shared" si="4"/>
        <v>3042 BALANCETE ANUAL {YYYY-MM}.xls</v>
      </c>
      <c r="K49" t="s">
        <v>148</v>
      </c>
    </row>
    <row r="50" spans="1:11" hidden="1">
      <c r="A50" t="str">
        <f t="shared" si="3"/>
        <v>3263_BALANCETE ANUAL_{Data}</v>
      </c>
      <c r="B50" t="s">
        <v>163</v>
      </c>
      <c r="C50">
        <v>480</v>
      </c>
      <c r="D50">
        <v>3263</v>
      </c>
      <c r="E50" s="8" t="s">
        <v>76</v>
      </c>
      <c r="F50" s="8" t="s">
        <v>138</v>
      </c>
      <c r="G50" t="s">
        <v>108</v>
      </c>
      <c r="H50" t="s">
        <v>165</v>
      </c>
      <c r="I50" t="s">
        <v>166</v>
      </c>
      <c r="J50" s="2" t="str">
        <f t="shared" si="4"/>
        <v>3263 BALANCETE ANUAL {YYYY-MM}.xls</v>
      </c>
      <c r="K50" t="s">
        <v>148</v>
      </c>
    </row>
    <row r="51" spans="1:11" hidden="1">
      <c r="A51" t="str">
        <f t="shared" si="3"/>
        <v>1004_BALANCETE ANUAL_{Data}</v>
      </c>
      <c r="B51" t="s">
        <v>163</v>
      </c>
      <c r="C51">
        <v>480</v>
      </c>
      <c r="D51">
        <v>1004</v>
      </c>
      <c r="E51" s="8" t="s">
        <v>76</v>
      </c>
      <c r="F51" s="8" t="s">
        <v>139</v>
      </c>
      <c r="G51" t="s">
        <v>91</v>
      </c>
      <c r="H51" t="s">
        <v>165</v>
      </c>
      <c r="I51" t="s">
        <v>166</v>
      </c>
      <c r="J51" s="2" t="str">
        <f t="shared" si="4"/>
        <v>1004 BALANCETE ANUAL {YYYY-MM}.xls</v>
      </c>
      <c r="K51" t="s">
        <v>148</v>
      </c>
    </row>
    <row r="52" spans="1:11" hidden="1">
      <c r="A52" t="str">
        <f t="shared" si="3"/>
        <v>3043_BALANCETE ANUAL_{Data}</v>
      </c>
      <c r="B52" t="s">
        <v>163</v>
      </c>
      <c r="C52">
        <v>480</v>
      </c>
      <c r="D52">
        <v>3043</v>
      </c>
      <c r="E52" s="8" t="s">
        <v>76</v>
      </c>
      <c r="F52" s="8" t="s">
        <v>140</v>
      </c>
      <c r="G52" t="s">
        <v>109</v>
      </c>
      <c r="H52" t="s">
        <v>165</v>
      </c>
      <c r="I52" t="s">
        <v>166</v>
      </c>
      <c r="J52" s="2" t="str">
        <f t="shared" si="4"/>
        <v>3043 BALANCETE ANUAL {YYYY-MM}.xls</v>
      </c>
      <c r="K52" t="s">
        <v>148</v>
      </c>
    </row>
    <row r="53" spans="1:11" hidden="1">
      <c r="A53" t="str">
        <f t="shared" si="3"/>
        <v>3261_BALANCETE ANUAL_{Data}</v>
      </c>
      <c r="B53" t="s">
        <v>163</v>
      </c>
      <c r="C53">
        <v>480</v>
      </c>
      <c r="D53">
        <v>3261</v>
      </c>
      <c r="E53" s="8" t="s">
        <v>76</v>
      </c>
      <c r="F53" s="8" t="s">
        <v>141</v>
      </c>
      <c r="G53" t="s">
        <v>110</v>
      </c>
      <c r="H53" t="s">
        <v>165</v>
      </c>
      <c r="I53" t="s">
        <v>166</v>
      </c>
      <c r="J53" s="2" t="str">
        <f t="shared" si="4"/>
        <v>3261 BALANCETE ANUAL {YYYY-MM}.xls</v>
      </c>
      <c r="K53" t="s">
        <v>148</v>
      </c>
    </row>
    <row r="54" spans="1:11" hidden="1">
      <c r="A54" t="str">
        <f t="shared" si="3"/>
        <v>4002_BALANCETE ANUAL_{Data}</v>
      </c>
      <c r="B54" t="s">
        <v>163</v>
      </c>
      <c r="C54">
        <v>480</v>
      </c>
      <c r="D54">
        <v>4002</v>
      </c>
      <c r="E54" s="8" t="s">
        <v>76</v>
      </c>
      <c r="F54" s="8" t="s">
        <v>142</v>
      </c>
      <c r="G54" t="s">
        <v>111</v>
      </c>
      <c r="H54" t="s">
        <v>165</v>
      </c>
      <c r="I54" t="s">
        <v>166</v>
      </c>
      <c r="J54" s="2" t="str">
        <f t="shared" si="4"/>
        <v>4002 BALANCETE ANUAL {YYYY-MM}.xls</v>
      </c>
      <c r="K54" t="s">
        <v>148</v>
      </c>
    </row>
    <row r="55" spans="1:11" hidden="1">
      <c r="A55" t="str">
        <f t="shared" si="3"/>
        <v>4041_BALANCETE ANUAL_{Data}</v>
      </c>
      <c r="B55" t="s">
        <v>163</v>
      </c>
      <c r="C55">
        <v>480</v>
      </c>
      <c r="D55">
        <v>4041</v>
      </c>
      <c r="E55" s="8" t="s">
        <v>76</v>
      </c>
      <c r="F55" s="8" t="s">
        <v>143</v>
      </c>
      <c r="G55" t="s">
        <v>112</v>
      </c>
      <c r="H55" t="s">
        <v>165</v>
      </c>
      <c r="I55" t="s">
        <v>166</v>
      </c>
      <c r="J55" s="2" t="str">
        <f t="shared" si="4"/>
        <v>4041 BALANCETE ANUAL {YYYY-MM}.xls</v>
      </c>
      <c r="K55" t="s">
        <v>148</v>
      </c>
    </row>
    <row r="56" spans="1:11" hidden="1">
      <c r="A56" t="str">
        <f t="shared" si="3"/>
        <v>3060_BALANCETE ANUAL_{Data}</v>
      </c>
      <c r="B56" t="s">
        <v>163</v>
      </c>
      <c r="C56">
        <v>480</v>
      </c>
      <c r="D56">
        <v>3060</v>
      </c>
      <c r="E56" s="8" t="s">
        <v>76</v>
      </c>
      <c r="F56" s="8" t="s">
        <v>144</v>
      </c>
      <c r="G56" t="s">
        <v>113</v>
      </c>
      <c r="H56" t="s">
        <v>165</v>
      </c>
      <c r="I56" t="s">
        <v>166</v>
      </c>
      <c r="J56" s="2" t="str">
        <f t="shared" si="4"/>
        <v>3060 BALANCETE ANUAL {YYYY-MM}.xls</v>
      </c>
      <c r="K56" t="s">
        <v>148</v>
      </c>
    </row>
    <row r="57" spans="1:11" hidden="1">
      <c r="A57" t="str">
        <f t="shared" ref="A57" si="5">D57 &amp; "_" &amp; B57 &amp; "_{Data}"</f>
        <v>3059_BALANCETE ANUAL_{Data}</v>
      </c>
      <c r="B57" t="s">
        <v>163</v>
      </c>
      <c r="C57">
        <v>480</v>
      </c>
      <c r="D57">
        <v>3059</v>
      </c>
      <c r="E57" s="8" t="s">
        <v>76</v>
      </c>
      <c r="F57" t="s">
        <v>145</v>
      </c>
      <c r="G57" t="s">
        <v>114</v>
      </c>
      <c r="H57" t="s">
        <v>165</v>
      </c>
      <c r="I57" t="s">
        <v>166</v>
      </c>
      <c r="J57" s="2" t="str">
        <f t="shared" si="4"/>
        <v>3059 BALANCETE ANUAL {YYYY-MM}.xls</v>
      </c>
      <c r="K57" t="s">
        <v>148</v>
      </c>
    </row>
    <row r="58" spans="1:11" hidden="1">
      <c r="A58" t="str">
        <f t="shared" ref="A58:A71" si="6">D58 &amp; "_" &amp; B58 &amp; "_{Data}"</f>
        <v>3055_BALANCETE ANUAL_{Data}</v>
      </c>
      <c r="B58" t="s">
        <v>163</v>
      </c>
      <c r="C58">
        <v>480</v>
      </c>
      <c r="D58">
        <v>3055</v>
      </c>
      <c r="E58" s="8" t="s">
        <v>76</v>
      </c>
      <c r="F58" t="s">
        <v>171</v>
      </c>
      <c r="G58" t="s">
        <v>172</v>
      </c>
      <c r="H58" t="s">
        <v>165</v>
      </c>
      <c r="I58" t="s">
        <v>166</v>
      </c>
      <c r="J58" s="2" t="str">
        <f t="shared" si="4"/>
        <v>3055 BALANCETE ANUAL {YYYY-MM}.xls</v>
      </c>
      <c r="K58" t="s">
        <v>148</v>
      </c>
    </row>
    <row r="59" spans="1:11">
      <c r="A59" t="str">
        <f t="shared" si="6"/>
        <v>3056_BALANCETE_{Data}</v>
      </c>
      <c r="B59" t="s">
        <v>115</v>
      </c>
      <c r="C59">
        <v>480</v>
      </c>
      <c r="D59">
        <v>3056</v>
      </c>
      <c r="E59" s="8" t="s">
        <v>187</v>
      </c>
      <c r="F59" s="8" t="s">
        <v>173</v>
      </c>
      <c r="G59" t="s">
        <v>174</v>
      </c>
      <c r="H59" t="s">
        <v>183</v>
      </c>
      <c r="I59" t="s">
        <v>194</v>
      </c>
      <c r="J59" s="2" t="str">
        <f t="shared" si="4"/>
        <v>3056 BALANCETE {YYYY-MM}.xls</v>
      </c>
      <c r="K59" t="s">
        <v>148</v>
      </c>
    </row>
    <row r="60" spans="1:11">
      <c r="A60" t="str">
        <f t="shared" si="6"/>
        <v>3056_BALANCETE_{Data}</v>
      </c>
      <c r="B60" t="s">
        <v>115</v>
      </c>
      <c r="C60">
        <v>480</v>
      </c>
      <c r="D60">
        <v>3056</v>
      </c>
      <c r="E60" s="8" t="s">
        <v>189</v>
      </c>
      <c r="F60" s="8" t="s">
        <v>173</v>
      </c>
      <c r="G60" t="s">
        <v>174</v>
      </c>
      <c r="H60" t="s">
        <v>183</v>
      </c>
      <c r="I60" t="s">
        <v>196</v>
      </c>
      <c r="J60" s="2" t="str">
        <f t="shared" si="4"/>
        <v>3056 BALANCETE {YYYY-MM}.xls</v>
      </c>
      <c r="K60" t="s">
        <v>148</v>
      </c>
    </row>
    <row r="61" spans="1:11">
      <c r="A61" t="str">
        <f t="shared" si="6"/>
        <v>3056_BALANCETE_{Data}</v>
      </c>
      <c r="B61" t="s">
        <v>115</v>
      </c>
      <c r="C61">
        <v>480</v>
      </c>
      <c r="D61">
        <v>3056</v>
      </c>
      <c r="E61" s="8" t="s">
        <v>188</v>
      </c>
      <c r="F61" s="8" t="s">
        <v>173</v>
      </c>
      <c r="G61" t="s">
        <v>174</v>
      </c>
      <c r="H61" t="s">
        <v>183</v>
      </c>
      <c r="I61" t="s">
        <v>190</v>
      </c>
      <c r="J61" s="2" t="str">
        <f t="shared" si="4"/>
        <v>3056 BALANCETE {YYYY-MM}.xls</v>
      </c>
      <c r="K61" t="s">
        <v>148</v>
      </c>
    </row>
    <row r="62" spans="1:11">
      <c r="A62" t="str">
        <f t="shared" si="6"/>
        <v>3056_BALANCETE_{Data}</v>
      </c>
      <c r="B62" t="s">
        <v>115</v>
      </c>
      <c r="C62">
        <v>480</v>
      </c>
      <c r="D62">
        <v>3056</v>
      </c>
      <c r="E62" s="8" t="s">
        <v>184</v>
      </c>
      <c r="F62" s="8" t="s">
        <v>173</v>
      </c>
      <c r="G62" t="s">
        <v>174</v>
      </c>
      <c r="H62" t="s">
        <v>183</v>
      </c>
      <c r="I62" t="s">
        <v>191</v>
      </c>
      <c r="J62" s="2" t="str">
        <f t="shared" si="4"/>
        <v>3056 BALANCETE {YYYY-MM}.xls</v>
      </c>
      <c r="K62" t="s">
        <v>148</v>
      </c>
    </row>
    <row r="63" spans="1:11">
      <c r="A63" t="str">
        <f t="shared" si="6"/>
        <v>3056_BALANCETE_{Data}</v>
      </c>
      <c r="B63" t="s">
        <v>115</v>
      </c>
      <c r="C63">
        <v>480</v>
      </c>
      <c r="D63">
        <v>3056</v>
      </c>
      <c r="E63" s="8" t="s">
        <v>186</v>
      </c>
      <c r="F63" s="8" t="s">
        <v>173</v>
      </c>
      <c r="G63" t="s">
        <v>174</v>
      </c>
      <c r="H63" t="s">
        <v>183</v>
      </c>
      <c r="I63" t="s">
        <v>195</v>
      </c>
      <c r="J63" s="2" t="str">
        <f t="shared" si="4"/>
        <v>3056 BALANCETE {YYYY-MM}.xls</v>
      </c>
      <c r="K63" t="s">
        <v>148</v>
      </c>
    </row>
    <row r="64" spans="1:11">
      <c r="A64" t="str">
        <f t="shared" si="6"/>
        <v>3056_BALANCETE_{Data}</v>
      </c>
      <c r="B64" t="s">
        <v>115</v>
      </c>
      <c r="C64">
        <v>480</v>
      </c>
      <c r="D64">
        <v>3056</v>
      </c>
      <c r="E64" s="8" t="s">
        <v>185</v>
      </c>
      <c r="F64" s="8" t="s">
        <v>173</v>
      </c>
      <c r="G64" t="s">
        <v>174</v>
      </c>
      <c r="H64" t="s">
        <v>183</v>
      </c>
      <c r="I64" t="s">
        <v>193</v>
      </c>
      <c r="J64" s="2" t="str">
        <f t="shared" si="4"/>
        <v>3056 BALANCETE {YYYY-MM}.xls</v>
      </c>
      <c r="K64" t="s">
        <v>148</v>
      </c>
    </row>
    <row r="65" spans="1:11">
      <c r="A65" t="str">
        <f t="shared" si="6"/>
        <v>3056_BALANCETE_{Data}</v>
      </c>
      <c r="B65" t="s">
        <v>115</v>
      </c>
      <c r="C65">
        <v>480</v>
      </c>
      <c r="D65">
        <v>3056</v>
      </c>
      <c r="E65" s="8" t="s">
        <v>184</v>
      </c>
      <c r="F65" s="8" t="s">
        <v>173</v>
      </c>
      <c r="G65" t="s">
        <v>174</v>
      </c>
      <c r="H65" t="s">
        <v>183</v>
      </c>
      <c r="I65" t="s">
        <v>191</v>
      </c>
      <c r="J65" s="2" t="str">
        <f t="shared" si="4"/>
        <v>3056 BALANCETE {YYYY-MM}.xls</v>
      </c>
      <c r="K65" t="s">
        <v>148</v>
      </c>
    </row>
    <row r="66" spans="1:11">
      <c r="A66" t="str">
        <f t="shared" si="6"/>
        <v>3056_BALANCETE_{Data}</v>
      </c>
      <c r="B66" t="s">
        <v>115</v>
      </c>
      <c r="C66">
        <v>480</v>
      </c>
      <c r="D66">
        <v>3056</v>
      </c>
      <c r="E66" s="8" t="s">
        <v>76</v>
      </c>
      <c r="F66" t="s">
        <v>173</v>
      </c>
      <c r="G66" t="s">
        <v>174</v>
      </c>
      <c r="H66" t="s">
        <v>165</v>
      </c>
      <c r="I66" t="s">
        <v>166</v>
      </c>
      <c r="J66" s="2" t="str">
        <f t="shared" si="4"/>
        <v>3056 BALANCETE {YYYY-MM}.xls</v>
      </c>
      <c r="K66" t="s">
        <v>148</v>
      </c>
    </row>
    <row r="67" spans="1:11" hidden="1">
      <c r="A67" t="str">
        <f t="shared" si="6"/>
        <v>3058_BALANCETE ANUAL_{Data}</v>
      </c>
      <c r="B67" t="s">
        <v>163</v>
      </c>
      <c r="C67">
        <v>480</v>
      </c>
      <c r="D67">
        <v>3058</v>
      </c>
      <c r="E67" s="8" t="s">
        <v>76</v>
      </c>
      <c r="F67" t="s">
        <v>175</v>
      </c>
      <c r="G67" t="s">
        <v>176</v>
      </c>
      <c r="H67" t="s">
        <v>165</v>
      </c>
      <c r="I67" t="s">
        <v>166</v>
      </c>
      <c r="J67" s="2" t="str">
        <f t="shared" si="4"/>
        <v>3058 BALANCETE ANUAL {YYYY-MM}.xls</v>
      </c>
      <c r="K67" t="s">
        <v>148</v>
      </c>
    </row>
    <row r="68" spans="1:11" hidden="1">
      <c r="A68" t="str">
        <f t="shared" si="6"/>
        <v>3300_BALANCETE ANUAL_{Data}</v>
      </c>
      <c r="B68" t="s">
        <v>163</v>
      </c>
      <c r="C68">
        <v>480</v>
      </c>
      <c r="D68">
        <v>3300</v>
      </c>
      <c r="E68" s="8" t="s">
        <v>76</v>
      </c>
      <c r="F68" t="s">
        <v>177</v>
      </c>
      <c r="G68" t="s">
        <v>178</v>
      </c>
      <c r="H68" t="s">
        <v>165</v>
      </c>
      <c r="I68" t="s">
        <v>166</v>
      </c>
      <c r="J68" s="2" t="str">
        <f t="shared" si="4"/>
        <v>3300 BALANCETE ANUAL {YYYY-MM}.xls</v>
      </c>
      <c r="K68" t="s">
        <v>148</v>
      </c>
    </row>
    <row r="69" spans="1:11" hidden="1">
      <c r="A69" t="str">
        <f t="shared" si="6"/>
        <v>3343_BALANCETE ANUAL_{Data}</v>
      </c>
      <c r="B69" t="s">
        <v>163</v>
      </c>
      <c r="C69">
        <v>480</v>
      </c>
      <c r="D69">
        <v>3343</v>
      </c>
      <c r="E69" s="8" t="s">
        <v>76</v>
      </c>
      <c r="F69" s="8" t="s">
        <v>130</v>
      </c>
      <c r="G69" t="s">
        <v>100</v>
      </c>
      <c r="H69" t="s">
        <v>165</v>
      </c>
      <c r="I69" t="s">
        <v>166</v>
      </c>
      <c r="J69" s="2" t="str">
        <f t="shared" si="4"/>
        <v>3343 BALANCETE ANUAL {YYYY-MM}.xls</v>
      </c>
      <c r="K69" t="s">
        <v>148</v>
      </c>
    </row>
    <row r="70" spans="1:11" hidden="1">
      <c r="A70" t="str">
        <f t="shared" si="6"/>
        <v>3336_BALANCETE ANUAL_{Data}</v>
      </c>
      <c r="B70" t="s">
        <v>163</v>
      </c>
      <c r="C70">
        <v>480</v>
      </c>
      <c r="D70">
        <v>3336</v>
      </c>
      <c r="E70" s="8" t="s">
        <v>76</v>
      </c>
      <c r="F70" t="s">
        <v>179</v>
      </c>
      <c r="G70" t="s">
        <v>180</v>
      </c>
      <c r="H70" t="s">
        <v>165</v>
      </c>
      <c r="I70" t="s">
        <v>166</v>
      </c>
      <c r="J70" s="2" t="str">
        <f t="shared" si="4"/>
        <v>3336 BALANCETE ANUAL {YYYY-MM}.xls</v>
      </c>
      <c r="K70" t="s">
        <v>148</v>
      </c>
    </row>
    <row r="71" spans="1:11" hidden="1">
      <c r="A71" t="str">
        <f t="shared" si="6"/>
        <v>3350_BALANCETE ANUAL_{Data}</v>
      </c>
      <c r="B71" t="s">
        <v>163</v>
      </c>
      <c r="C71">
        <v>480</v>
      </c>
      <c r="D71">
        <v>3350</v>
      </c>
      <c r="E71" s="8" t="s">
        <v>76</v>
      </c>
      <c r="F71" t="s">
        <v>181</v>
      </c>
      <c r="G71" t="s">
        <v>182</v>
      </c>
      <c r="H71" t="s">
        <v>165</v>
      </c>
      <c r="I71" t="s">
        <v>166</v>
      </c>
      <c r="J71" s="2" t="str">
        <f t="shared" si="4"/>
        <v>3350 BALANCETE ANUAL {YYYY-MM}.xls</v>
      </c>
      <c r="K71" t="s">
        <v>148</v>
      </c>
    </row>
    <row r="72" spans="1:11">
      <c r="A72" t="str">
        <f t="shared" ref="A72" si="7">D72 &amp; "_" &amp; B72 &amp; "_{Data}"</f>
        <v>3056_BALANCETE_{Data}</v>
      </c>
      <c r="B72" t="s">
        <v>115</v>
      </c>
      <c r="C72">
        <v>480</v>
      </c>
      <c r="D72">
        <v>3056</v>
      </c>
      <c r="E72" s="8" t="s">
        <v>76</v>
      </c>
      <c r="F72" s="8" t="s">
        <v>173</v>
      </c>
      <c r="G72" t="s">
        <v>174</v>
      </c>
      <c r="H72" t="s">
        <v>183</v>
      </c>
      <c r="I72" t="s">
        <v>192</v>
      </c>
      <c r="J72" s="2" t="str">
        <f t="shared" ref="J72" si="8" xml:space="preserve"> D72 &amp; " " &amp; B72 &amp; " {YYYY-MM}" &amp; K72</f>
        <v>3056 BALANCETE {YYYY-MM}.xls</v>
      </c>
      <c r="K72" t="s">
        <v>148</v>
      </c>
    </row>
    <row r="73" spans="1:11">
      <c r="A73"/>
      <c r="B73"/>
      <c r="F73" s="8"/>
      <c r="J73" s="2"/>
    </row>
    <row r="74" spans="1:11" ht="14.25" customHeight="1">
      <c r="A74"/>
      <c r="B74"/>
      <c r="F74" s="8"/>
      <c r="J74" s="2"/>
    </row>
    <row r="75" spans="1:11">
      <c r="A75"/>
      <c r="B75"/>
      <c r="F75" s="8"/>
      <c r="J75" s="2"/>
    </row>
  </sheetData>
  <phoneticPr fontId="6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E067FB17BBE604388FF8D85A1436010" ma:contentTypeVersion="13" ma:contentTypeDescription="Crie um novo documento." ma:contentTypeScope="" ma:versionID="07b58570b8d69dbc829517e62e9ee667">
  <xsd:schema xmlns:xsd="http://www.w3.org/2001/XMLSchema" xmlns:xs="http://www.w3.org/2001/XMLSchema" xmlns:p="http://schemas.microsoft.com/office/2006/metadata/properties" xmlns:ns1="http://schemas.microsoft.com/sharepoint/v3" xmlns:ns2="9eec31a1-d087-4fcd-aa53-ae3eb2e4f73a" xmlns:ns3="96a06ecb-4da8-421a-a54a-354ee7185fa6" targetNamespace="http://schemas.microsoft.com/office/2006/metadata/properties" ma:root="true" ma:fieldsID="7aed0bf31cbf93c6f5ccf072160b6dac" ns1:_="" ns2:_="" ns3:_="">
    <xsd:import namespace="http://schemas.microsoft.com/sharepoint/v3"/>
    <xsd:import namespace="9eec31a1-d087-4fcd-aa53-ae3eb2e4f73a"/>
    <xsd:import namespace="96a06ecb-4da8-421a-a54a-354ee7185f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ec31a1-d087-4fcd-aa53-ae3eb2e4f7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5e04de-2378-41b5-9d29-edfcf9c94b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06ecb-4da8-421a-a54a-354ee7185fa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93ce257-e85f-4ab0-b9ad-9026659fc0c2}" ma:internalName="TaxCatchAll" ma:showField="CatchAllData" ma:web="96a06ecb-4da8-421a-a54a-354ee7185f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eec31a1-d087-4fcd-aa53-ae3eb2e4f73a">
      <Terms xmlns="http://schemas.microsoft.com/office/infopath/2007/PartnerControls"/>
    </lcf76f155ced4ddcb4097134ff3c332f>
    <TaxCatchAll xmlns="96a06ecb-4da8-421a-a54a-354ee7185fa6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B15E296-4182-426E-A5FB-B4BE2A638C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eec31a1-d087-4fcd-aa53-ae3eb2e4f73a"/>
    <ds:schemaRef ds:uri="96a06ecb-4da8-421a-a54a-354ee7185f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555B5B-2D71-4B0B-B1C3-9FC2CC62D6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2F8DD6-8E08-48B1-8C7C-5FD3C66C5301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FCDB2B2C-AF0B-4AFE-848F-9639139EC6D0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terms/"/>
    <ds:schemaRef ds:uri="http://schemas.microsoft.com/office/infopath/2007/PartnerControls"/>
    <ds:schemaRef ds:uri="http://purl.org/dc/elements/1.1/"/>
    <ds:schemaRef ds:uri="http://purl.org/dc/dcmitype/"/>
    <ds:schemaRef ds:uri="http://schemas.openxmlformats.org/package/2006/metadata/core-properties"/>
    <ds:schemaRef ds:uri="96a06ecb-4da8-421a-a54a-354ee7185fa6"/>
    <ds:schemaRef ds:uri="9eec31a1-d087-4fcd-aa53-ae3eb2e4f73a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42931f94-be3b-4353-aa83-a6d58a282573}" enabled="1" method="Privileged" siteId="{071ab648-205b-4c78-9447-ad15f4b3a8d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Settings</vt:lpstr>
      <vt:lpstr>Constants</vt:lpstr>
      <vt:lpstr>Assets</vt:lpstr>
      <vt:lpstr>QueueItems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Lisandro Davi de Souza</dc:creator>
  <cp:keywords/>
  <dc:description/>
  <cp:lastModifiedBy>Antonio Gabriel Mendes Ferreira</cp:lastModifiedBy>
  <cp:revision/>
  <cp:lastPrinted>2025-02-04T21:18:52Z</cp:lastPrinted>
  <dcterms:created xsi:type="dcterms:W3CDTF">2024-07-01T17:19:01Z</dcterms:created>
  <dcterms:modified xsi:type="dcterms:W3CDTF">2026-03-11T19:11:54Z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59b2e0-2ec4-47e6-afc1-6e3f8b684f6a_Enabled">
    <vt:lpwstr>true</vt:lpwstr>
  </property>
  <property fmtid="{D5CDD505-2E9C-101B-9397-08002B2CF9AE}" pid="3" name="MSIP_Label_6459b2e0-2ec4-47e6-afc1-6e3f8b684f6a_SetDate">
    <vt:lpwstr>2021-08-05T18:41:21Z</vt:lpwstr>
  </property>
  <property fmtid="{D5CDD505-2E9C-101B-9397-08002B2CF9AE}" pid="4" name="MSIP_Label_6459b2e0-2ec4-47e6-afc1-6e3f8b684f6a_Method">
    <vt:lpwstr>Privileged</vt:lpwstr>
  </property>
  <property fmtid="{D5CDD505-2E9C-101B-9397-08002B2CF9AE}" pid="5" name="MSIP_Label_6459b2e0-2ec4-47e6-afc1-6e3f8b684f6a_Name">
    <vt:lpwstr>6459b2e0-2ec4-47e6-afc1-6e3f8b684f6a</vt:lpwstr>
  </property>
  <property fmtid="{D5CDD505-2E9C-101B-9397-08002B2CF9AE}" pid="6" name="MSIP_Label_6459b2e0-2ec4-47e6-afc1-6e3f8b684f6a_SiteId">
    <vt:lpwstr>b417b620-2ae9-4a83-ab6c-7fbd828bda1d</vt:lpwstr>
  </property>
  <property fmtid="{D5CDD505-2E9C-101B-9397-08002B2CF9AE}" pid="7" name="MSIP_Label_6459b2e0-2ec4-47e6-afc1-6e3f8b684f6a_ActionId">
    <vt:lpwstr>00170018-a6f7-4e8c-8317-00002c1297d2</vt:lpwstr>
  </property>
  <property fmtid="{D5CDD505-2E9C-101B-9397-08002B2CF9AE}" pid="8" name="MSIP_Label_6459b2e0-2ec4-47e6-afc1-6e3f8b684f6a_ContentBits">
    <vt:lpwstr>0</vt:lpwstr>
  </property>
  <property fmtid="{D5CDD505-2E9C-101B-9397-08002B2CF9AE}" pid="9" name="ContentTypeId">
    <vt:lpwstr>0x0101008E067FB17BBE604388FF8D85A1436010</vt:lpwstr>
  </property>
  <property fmtid="{D5CDD505-2E9C-101B-9397-08002B2CF9AE}" pid="10" name="MediaServiceImageTags">
    <vt:lpwstr/>
  </property>
  <property fmtid="{D5CDD505-2E9C-101B-9397-08002B2CF9AE}" pid="11" name="MSIP_Label_42931f94-be3b-4353-aa83-a6d58a282573_Enabled">
    <vt:lpwstr>true</vt:lpwstr>
  </property>
  <property fmtid="{D5CDD505-2E9C-101B-9397-08002B2CF9AE}" pid="12" name="MSIP_Label_42931f94-be3b-4353-aa83-a6d58a282573_SetDate">
    <vt:lpwstr>2023-03-27T23:14:53Z</vt:lpwstr>
  </property>
  <property fmtid="{D5CDD505-2E9C-101B-9397-08002B2CF9AE}" pid="13" name="MSIP_Label_42931f94-be3b-4353-aa83-a6d58a282573_Method">
    <vt:lpwstr>Privileged</vt:lpwstr>
  </property>
  <property fmtid="{D5CDD505-2E9C-101B-9397-08002B2CF9AE}" pid="14" name="MSIP_Label_42931f94-be3b-4353-aa83-a6d58a282573_Name">
    <vt:lpwstr>Public</vt:lpwstr>
  </property>
  <property fmtid="{D5CDD505-2E9C-101B-9397-08002B2CF9AE}" pid="15" name="MSIP_Label_42931f94-be3b-4353-aa83-a6d58a282573_SiteId">
    <vt:lpwstr>071ab648-205b-4c78-9447-ad15f4b3a8d2</vt:lpwstr>
  </property>
  <property fmtid="{D5CDD505-2E9C-101B-9397-08002B2CF9AE}" pid="16" name="MSIP_Label_42931f94-be3b-4353-aa83-a6d58a282573_ActionId">
    <vt:lpwstr>b4c18a5d-3d7b-4f5c-9627-fdbbe778cf58</vt:lpwstr>
  </property>
  <property fmtid="{D5CDD505-2E9C-101B-9397-08002B2CF9AE}" pid="17" name="MSIP_Label_42931f94-be3b-4353-aa83-a6d58a282573_ContentBits">
    <vt:lpwstr>0</vt:lpwstr>
  </property>
</Properties>
</file>